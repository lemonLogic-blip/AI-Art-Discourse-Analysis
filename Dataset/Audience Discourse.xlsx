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Desktop\AI_Art_Analysis_Project\Dataset\"/>
    </mc:Choice>
  </mc:AlternateContent>
  <xr:revisionPtr revIDLastSave="0" documentId="13_ncr:1_{8578633A-D04C-4257-A539-301CA579A353}" xr6:coauthVersionLast="47" xr6:coauthVersionMax="47" xr10:uidLastSave="{00000000-0000-0000-0000-000000000000}"/>
  <bookViews>
    <workbookView xWindow="-110" yWindow="-110" windowWidth="19420" windowHeight="10300" firstSheet="1" activeTab="3" xr2:uid="{6E06FF5C-C7E2-41C3-BF0B-BBAEB2910EAE}"/>
  </bookViews>
  <sheets>
    <sheet name="Sheet1" sheetId="1" state="hidden" r:id="rId1"/>
    <sheet name="Metadata" sheetId="4" r:id="rId2"/>
    <sheet name="Dataschema" sheetId="3" r:id="rId3"/>
    <sheet name="200 Records" sheetId="2" r:id="rId4"/>
  </sheets>
  <definedNames>
    <definedName name="_xlnm._FilterDatabase" localSheetId="3" hidden="1">'200 Records'!$B$1:$J$169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70" i="2" l="1"/>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2" i="2"/>
  <c r="H3" i="2"/>
  <c r="J3" i="2" s="1"/>
  <c r="H4" i="2"/>
  <c r="J4" i="2" s="1"/>
  <c r="H5" i="2"/>
  <c r="J5" i="2" s="1"/>
  <c r="H6" i="2"/>
  <c r="J6" i="2" s="1"/>
  <c r="H7" i="2"/>
  <c r="H8" i="2"/>
  <c r="J8" i="2" s="1"/>
  <c r="H9" i="2"/>
  <c r="J9" i="2" s="1"/>
  <c r="H10" i="2"/>
  <c r="J10" i="2" s="1"/>
  <c r="H11" i="2"/>
  <c r="J11" i="2" s="1"/>
  <c r="H12" i="2"/>
  <c r="J12" i="2" s="1"/>
  <c r="H13" i="2"/>
  <c r="J13" i="2" s="1"/>
  <c r="H14" i="2"/>
  <c r="J14" i="2" s="1"/>
  <c r="H15" i="2"/>
  <c r="J15" i="2" s="1"/>
  <c r="H16" i="2"/>
  <c r="J16" i="2" s="1"/>
  <c r="H17" i="2"/>
  <c r="J17" i="2" s="1"/>
  <c r="H18" i="2"/>
  <c r="J18" i="2" s="1"/>
  <c r="H19" i="2"/>
  <c r="J19" i="2" s="1"/>
  <c r="H20" i="2"/>
  <c r="J20" i="2" s="1"/>
  <c r="H21" i="2"/>
  <c r="J21" i="2" s="1"/>
  <c r="H22" i="2"/>
  <c r="J22" i="2" s="1"/>
  <c r="H23" i="2"/>
  <c r="J23" i="2" s="1"/>
  <c r="H24" i="2"/>
  <c r="J24" i="2" s="1"/>
  <c r="H25" i="2"/>
  <c r="J25" i="2" s="1"/>
  <c r="H26" i="2"/>
  <c r="J26" i="2" s="1"/>
  <c r="H27" i="2"/>
  <c r="J27" i="2" s="1"/>
  <c r="H28" i="2"/>
  <c r="J28" i="2" s="1"/>
  <c r="H29" i="2"/>
  <c r="J29" i="2" s="1"/>
  <c r="H30" i="2"/>
  <c r="J30" i="2" s="1"/>
  <c r="H31" i="2"/>
  <c r="J31" i="2" s="1"/>
  <c r="H32" i="2"/>
  <c r="J32" i="2" s="1"/>
  <c r="H33" i="2"/>
  <c r="J33" i="2" s="1"/>
  <c r="H34" i="2"/>
  <c r="J34" i="2" s="1"/>
  <c r="H35" i="2"/>
  <c r="J35" i="2" s="1"/>
  <c r="H36" i="2"/>
  <c r="J36" i="2" s="1"/>
  <c r="H37" i="2"/>
  <c r="J37" i="2" s="1"/>
  <c r="H38" i="2"/>
  <c r="J38" i="2" s="1"/>
  <c r="H39" i="2"/>
  <c r="J39" i="2" s="1"/>
  <c r="H40" i="2"/>
  <c r="J40" i="2" s="1"/>
  <c r="H41" i="2"/>
  <c r="J41" i="2" s="1"/>
  <c r="H42" i="2"/>
  <c r="J42" i="2" s="1"/>
  <c r="H43" i="2"/>
  <c r="J43" i="2" s="1"/>
  <c r="H44" i="2"/>
  <c r="J44" i="2" s="1"/>
  <c r="H45" i="2"/>
  <c r="J45" i="2" s="1"/>
  <c r="H46" i="2"/>
  <c r="J46" i="2" s="1"/>
  <c r="H47" i="2"/>
  <c r="J47" i="2" s="1"/>
  <c r="H48" i="2"/>
  <c r="J48" i="2" s="1"/>
  <c r="H49" i="2"/>
  <c r="J49" i="2" s="1"/>
  <c r="H50" i="2"/>
  <c r="J50" i="2" s="1"/>
  <c r="H51" i="2"/>
  <c r="J51" i="2" s="1"/>
  <c r="H52" i="2"/>
  <c r="H53" i="2"/>
  <c r="J53" i="2" s="1"/>
  <c r="H54" i="2"/>
  <c r="J54" i="2" s="1"/>
  <c r="H55" i="2"/>
  <c r="J55" i="2" s="1"/>
  <c r="H56" i="2"/>
  <c r="J56" i="2" s="1"/>
  <c r="H57" i="2"/>
  <c r="J57" i="2" s="1"/>
  <c r="H58" i="2"/>
  <c r="J58" i="2" s="1"/>
  <c r="H59" i="2"/>
  <c r="J59" i="2" s="1"/>
  <c r="H60" i="2"/>
  <c r="J60" i="2" s="1"/>
  <c r="H61" i="2"/>
  <c r="J61" i="2" s="1"/>
  <c r="H62" i="2"/>
  <c r="J62" i="2" s="1"/>
  <c r="H63" i="2"/>
  <c r="J63" i="2" s="1"/>
  <c r="H64" i="2"/>
  <c r="J64" i="2" s="1"/>
  <c r="H65" i="2"/>
  <c r="J65" i="2" s="1"/>
  <c r="H66" i="2"/>
  <c r="H67" i="2"/>
  <c r="J67" i="2" s="1"/>
  <c r="H68" i="2"/>
  <c r="J68" i="2" s="1"/>
  <c r="H69" i="2"/>
  <c r="J69" i="2" s="1"/>
  <c r="H70" i="2"/>
  <c r="J70" i="2" s="1"/>
  <c r="H71" i="2"/>
  <c r="J71" i="2" s="1"/>
  <c r="H72" i="2"/>
  <c r="J72" i="2" s="1"/>
  <c r="H73" i="2"/>
  <c r="J73" i="2" s="1"/>
  <c r="H74" i="2"/>
  <c r="J74" i="2" s="1"/>
  <c r="H75" i="2"/>
  <c r="J75" i="2" s="1"/>
  <c r="H76" i="2"/>
  <c r="J76" i="2" s="1"/>
  <c r="H77" i="2"/>
  <c r="J77" i="2" s="1"/>
  <c r="H78" i="2"/>
  <c r="J78" i="2" s="1"/>
  <c r="H79" i="2"/>
  <c r="J79" i="2" s="1"/>
  <c r="H80" i="2"/>
  <c r="J80" i="2" s="1"/>
  <c r="H81" i="2"/>
  <c r="J81" i="2" s="1"/>
  <c r="H82" i="2"/>
  <c r="J82" i="2" s="1"/>
  <c r="H83" i="2"/>
  <c r="J83" i="2" s="1"/>
  <c r="H84" i="2"/>
  <c r="J84" i="2" s="1"/>
  <c r="H85" i="2"/>
  <c r="J85" i="2" s="1"/>
  <c r="H86" i="2"/>
  <c r="J86" i="2" s="1"/>
  <c r="H87" i="2"/>
  <c r="J87" i="2" s="1"/>
  <c r="H88" i="2"/>
  <c r="J88" i="2" s="1"/>
  <c r="H89" i="2"/>
  <c r="J89" i="2" s="1"/>
  <c r="H90" i="2"/>
  <c r="J90" i="2" s="1"/>
  <c r="H91" i="2"/>
  <c r="J91" i="2" s="1"/>
  <c r="H92" i="2"/>
  <c r="J92" i="2" s="1"/>
  <c r="H93" i="2"/>
  <c r="J93" i="2" s="1"/>
  <c r="H94" i="2"/>
  <c r="J94" i="2" s="1"/>
  <c r="H95" i="2"/>
  <c r="J95" i="2" s="1"/>
  <c r="H96" i="2"/>
  <c r="J96" i="2" s="1"/>
  <c r="H97" i="2"/>
  <c r="J97" i="2" s="1"/>
  <c r="H98" i="2"/>
  <c r="J98" i="2" s="1"/>
  <c r="H99" i="2"/>
  <c r="J99" i="2" s="1"/>
  <c r="H100" i="2"/>
  <c r="J100" i="2" s="1"/>
  <c r="H101" i="2"/>
  <c r="J101" i="2" s="1"/>
  <c r="H102" i="2"/>
  <c r="J102" i="2" s="1"/>
  <c r="H103" i="2"/>
  <c r="J103" i="2" s="1"/>
  <c r="H104" i="2"/>
  <c r="J104" i="2" s="1"/>
  <c r="H105" i="2"/>
  <c r="H106" i="2"/>
  <c r="J106" i="2" s="1"/>
  <c r="H107" i="2"/>
  <c r="J107" i="2" s="1"/>
  <c r="H108" i="2"/>
  <c r="J108" i="2" s="1"/>
  <c r="H109" i="2"/>
  <c r="J109" i="2" s="1"/>
  <c r="H110" i="2"/>
  <c r="J110" i="2" s="1"/>
  <c r="H111" i="2"/>
  <c r="J111" i="2" s="1"/>
  <c r="H112" i="2"/>
  <c r="J112" i="2" s="1"/>
  <c r="H113" i="2"/>
  <c r="J113" i="2" s="1"/>
  <c r="H114" i="2"/>
  <c r="J114" i="2" s="1"/>
  <c r="H115" i="2"/>
  <c r="J115" i="2" s="1"/>
  <c r="H116" i="2"/>
  <c r="J116" i="2" s="1"/>
  <c r="H117" i="2"/>
  <c r="J117" i="2" s="1"/>
  <c r="H118" i="2"/>
  <c r="J118" i="2" s="1"/>
  <c r="H119" i="2"/>
  <c r="J119" i="2" s="1"/>
  <c r="H120" i="2"/>
  <c r="J120" i="2" s="1"/>
  <c r="H121" i="2"/>
  <c r="J121" i="2" s="1"/>
  <c r="H122" i="2"/>
  <c r="J122" i="2" s="1"/>
  <c r="H123" i="2"/>
  <c r="J123" i="2" s="1"/>
  <c r="H124" i="2"/>
  <c r="J124" i="2" s="1"/>
  <c r="H125" i="2"/>
  <c r="J125" i="2" s="1"/>
  <c r="H126" i="2"/>
  <c r="H127" i="2"/>
  <c r="J127" i="2" s="1"/>
  <c r="H128" i="2"/>
  <c r="J128" i="2" s="1"/>
  <c r="H129" i="2"/>
  <c r="J129" i="2" s="1"/>
  <c r="H130" i="2"/>
  <c r="H131" i="2"/>
  <c r="J131" i="2" s="1"/>
  <c r="H132" i="2"/>
  <c r="H133" i="2"/>
  <c r="J133" i="2" s="1"/>
  <c r="H134" i="2"/>
  <c r="H135" i="2"/>
  <c r="J135" i="2" s="1"/>
  <c r="H136" i="2"/>
  <c r="J136" i="2" s="1"/>
  <c r="H137" i="2"/>
  <c r="H138" i="2"/>
  <c r="J138" i="2" s="1"/>
  <c r="H139" i="2"/>
  <c r="J139" i="2" s="1"/>
  <c r="H140" i="2"/>
  <c r="H141" i="2"/>
  <c r="H142" i="2"/>
  <c r="H143" i="2"/>
  <c r="J143" i="2" s="1"/>
  <c r="H144" i="2"/>
  <c r="J144" i="2" s="1"/>
  <c r="H145" i="2"/>
  <c r="H146" i="2"/>
  <c r="H147" i="2"/>
  <c r="J147" i="2" s="1"/>
  <c r="H148" i="2"/>
  <c r="H149" i="2"/>
  <c r="H150" i="2"/>
  <c r="H151" i="2"/>
  <c r="H152" i="2"/>
  <c r="H153" i="2"/>
  <c r="H154" i="2"/>
  <c r="J154" i="2" s="1"/>
  <c r="H155" i="2"/>
  <c r="J155" i="2" s="1"/>
  <c r="H156" i="2"/>
  <c r="J156" i="2" s="1"/>
  <c r="H157" i="2"/>
  <c r="J157" i="2" s="1"/>
  <c r="H158" i="2"/>
  <c r="J158" i="2" s="1"/>
  <c r="H159" i="2"/>
  <c r="J159" i="2" s="1"/>
  <c r="H160" i="2"/>
  <c r="J160" i="2" s="1"/>
  <c r="H161" i="2"/>
  <c r="J161" i="2" s="1"/>
  <c r="H162" i="2"/>
  <c r="J162" i="2" s="1"/>
  <c r="H163" i="2"/>
  <c r="H164" i="2"/>
  <c r="J164" i="2" s="1"/>
  <c r="H165" i="2"/>
  <c r="H166" i="2"/>
  <c r="H167" i="2"/>
  <c r="J167" i="2" s="1"/>
  <c r="H168" i="2"/>
  <c r="J168" i="2" s="1"/>
  <c r="H169" i="2"/>
  <c r="H2" i="2"/>
  <c r="J132" i="2" l="1"/>
  <c r="J148" i="2"/>
  <c r="J52" i="2"/>
  <c r="J140" i="2"/>
  <c r="J130" i="2"/>
  <c r="J163" i="2"/>
  <c r="J66" i="2"/>
  <c r="J145" i="2"/>
  <c r="J169" i="2"/>
  <c r="J142" i="2"/>
  <c r="J126" i="2"/>
  <c r="J150" i="2"/>
  <c r="J134" i="2"/>
  <c r="J141" i="2"/>
  <c r="J149" i="2"/>
  <c r="J137" i="2"/>
  <c r="J153" i="2"/>
  <c r="J166" i="2"/>
  <c r="J105" i="2"/>
  <c r="J152" i="2"/>
  <c r="J146" i="2"/>
  <c r="J7" i="2"/>
  <c r="J2" i="2"/>
  <c r="J165" i="2"/>
  <c r="J151" i="2"/>
</calcChain>
</file>

<file path=xl/sharedStrings.xml><?xml version="1.0" encoding="utf-8"?>
<sst xmlns="http://schemas.openxmlformats.org/spreadsheetml/2006/main" count="1297" uniqueCount="398">
  <si>
    <t>platform</t>
  </si>
  <si>
    <t>content_type</t>
  </si>
  <si>
    <t>ai_disclosed</t>
  </si>
  <si>
    <t>comment_text</t>
  </si>
  <si>
    <t>stance_manual</t>
  </si>
  <si>
    <t>frame_manual</t>
  </si>
  <si>
    <t>Thread</t>
  </si>
  <si>
    <t>AI art post</t>
  </si>
  <si>
    <t>Yes</t>
  </si>
  <si>
    <t>"It's theft."</t>
  </si>
  <si>
    <t>Negative</t>
  </si>
  <si>
    <t>Ethical</t>
  </si>
  <si>
    <t>Instagram</t>
  </si>
  <si>
    <t>AI vs Human comparison post</t>
  </si>
  <si>
    <t>"The AI is terrifying!! Yours is 👍👍"</t>
  </si>
  <si>
    <t>Mixed</t>
  </si>
  <si>
    <t>"The AI one is so obviously fake and unsettling..."</t>
  </si>
  <si>
    <t>Human drawing defending traditional art</t>
  </si>
  <si>
    <t>Threads</t>
  </si>
  <si>
    <t>AI art showcase thread</t>
  </si>
  <si>
    <t>"Beautiful"</t>
  </si>
  <si>
    <t>Positive</t>
  </si>
  <si>
    <t>AI art debate</t>
  </si>
  <si>
    <t>Neutral</t>
  </si>
  <si>
    <t>"It wastes our finite resources… AI generated art is simply not fucking art."</t>
  </si>
  <si>
    <t>AI democratization argument</t>
  </si>
  <si>
    <t>AI democratization rebuttal</t>
  </si>
  <si>
    <t>"Using AI to 'create' music means you are a programmer. Not a musician."</t>
  </si>
  <si>
    <t>AI commercialization discussion</t>
  </si>
  <si>
    <t>Anti-AI support human artists</t>
  </si>
  <si>
    <t>"I want to support artists making real art without AI."</t>
  </si>
  <si>
    <t>Anti-AI rant</t>
  </si>
  <si>
    <t>AI landscape post</t>
  </si>
  <si>
    <t>AI vs Human poll</t>
  </si>
  <si>
    <t>Artist reflection on AI influence</t>
  </si>
  <si>
    <t>AI vs Human comparison</t>
  </si>
  <si>
    <t>AI art marketplace complaint</t>
  </si>
  <si>
    <t>AI existential debate</t>
  </si>
  <si>
    <t>"If it’s easy, why bother?... Real artists EARN their art."</t>
  </si>
  <si>
    <t>"Because it’s theft..."</t>
  </si>
  <si>
    <t>"AI wouldn’t be the first to create derivative art..."</t>
  </si>
  <si>
    <t>"AI music turns a poet into a musician… accessibility…"</t>
  </si>
  <si>
    <t>"Is the issue monetization?..."</t>
  </si>
  <si>
    <t>"It’s not yours. It’s computer generated nonsense."</t>
  </si>
  <si>
    <t>"Colour palette is breathtaking… I know it's AI but…"</t>
  </si>
  <si>
    <t>Poll: 62% prefer Human</t>
  </si>
  <si>
    <t>"Missing something… fabricated…"</t>
  </si>
  <si>
    <t>"Love your version way better than AI version!"</t>
  </si>
  <si>
    <t>"Selling AI art for $100 ruined my day…"</t>
  </si>
  <si>
    <t>AI book cover complaint</t>
  </si>
  <si>
    <t>"No human would ever draw this."</t>
  </si>
  <si>
    <t>"It threatens the very essence of humanity…"</t>
  </si>
  <si>
    <t>AI environmental debate</t>
  </si>
  <si>
    <t>"Huge drain on resources."</t>
  </si>
  <si>
    <t>AI vs Human debate video</t>
  </si>
  <si>
    <t>“People see art only for beauty… AI will never recreate emotion, feeling, story.”</t>
  </si>
  <si>
    <t>Human Authenticity &amp; Resonance</t>
  </si>
  <si>
    <t>“I love that art style.”</t>
  </si>
  <si>
    <t>“If you want to draw something then just draw… Imperfection is perfection.”</t>
  </si>
  <si>
    <t>Emotional Labor &amp; Storytelling</t>
  </si>
  <si>
    <t>AI accessibility debate</t>
  </si>
  <si>
    <t>“AI gonna replace art bcs it’s cheaper and surpass humans.”</t>
  </si>
  <si>
    <t>Authorship &amp; Scarcity Value</t>
  </si>
  <si>
    <t>“AI instantly turns thought into media… doesn’t matter if it’s original.”</t>
  </si>
  <si>
    <t>Technical Sophistication &amp; Novelty</t>
  </si>
  <si>
    <t>AI creativity debate</t>
  </si>
  <si>
    <t>“Using AI art uncritically weakens your ability to think creatively.”</t>
  </si>
  <si>
    <t>AI creativity defense</t>
  </si>
  <si>
    <t>“It takes skill and creativity to prompt and make AI art.”</t>
  </si>
  <si>
    <t>“It damages the environment, steals artists’ work.”</t>
  </si>
  <si>
    <t>Ethical &amp; IP Governance</t>
  </si>
  <si>
    <t>“Art is something you create, not generate.”</t>
  </si>
  <si>
    <t>AI appreciation post</t>
  </si>
  <si>
    <t>“So powerful and beautifully surreal… feels human, emotional.”</t>
  </si>
  <si>
    <t>AI post</t>
  </si>
  <si>
    <t>“Beautiful”</t>
  </si>
  <si>
    <t>“Amazing”</t>
  </si>
  <si>
    <t>“Nice prompts”</t>
  </si>
  <si>
    <t>AI vs Human thread</t>
  </si>
  <si>
    <t>“The need to insist it’s art proves that it isn’t.”</t>
  </si>
  <si>
    <t>“People don’t hate the result, they hate the process.”</t>
  </si>
  <si>
    <t>AI aesthetic showcase</t>
  </si>
  <si>
    <t>“Heart shaped balloons are beautiful.”</t>
  </si>
  <si>
    <t>AI art community</t>
  </si>
  <si>
    <t>“This feels ancient and futuristic… channeling mood, symbolism.”</t>
  </si>
  <si>
    <t>Human art advocacy</t>
  </si>
  <si>
    <t>“So tired of seeing AI art… just human hands, no AI.”</t>
  </si>
  <si>
    <t>AI vs Human</t>
  </si>
  <si>
    <t>“AI generations can be appreciated, but human art will always be more valued.”</t>
  </si>
  <si>
    <t>AI impact debate</t>
  </si>
  <si>
    <t>“When AI art becomes indistinguishable… scary times.”</t>
  </si>
  <si>
    <t>AI networking post</t>
  </si>
  <si>
    <t>“Hello, I create AI art and video. Here are some of my creations.”</t>
  </si>
  <si>
    <t>“Hi, I’m a full AI artist that creates music and cinematic videos.”</t>
  </si>
  <si>
    <t>AI art post (Mandarin comment)</t>
  </si>
  <si>
    <t>“Beautiful, but the face is too big.”</t>
  </si>
  <si>
    <t>AI art debate (Mandarin)</t>
  </si>
  <si>
    <t>“Why is this so strong? I’m just asking.”</t>
  </si>
  <si>
    <t>AI art historical comparison</t>
  </si>
  <si>
    <t>“Taking human original works and treating them as AI-made.”</t>
  </si>
  <si>
    <t>Human artist showcase (Mandarin)</t>
  </si>
  <si>
    <t>“When I see this kind of truly beautiful real art, I hope AI will never learn their techniques.”</t>
  </si>
  <si>
    <t>AI threat debate</t>
  </si>
  <si>
    <t>“Because it’s theft. It steals from our creations and destroys careers.”</t>
  </si>
  <si>
    <t>AI legal discussion</t>
  </si>
  <si>
    <t>“The laws on theft and plagiarism haven’t caught up with technology.”</t>
  </si>
  <si>
    <t>AI IP + job threat discussion</t>
  </si>
  <si>
    <t>“It uses intellectual property without permission… basically theft.”</t>
  </si>
  <si>
    <t>Human-only art advocacy</t>
  </si>
  <si>
    <t>“What’s your latest piece? Human art only!”</t>
  </si>
  <si>
    <t>Human art showcase</t>
  </si>
  <si>
    <t>“On the easel tonight.”</t>
  </si>
  <si>
    <t>Anti-AI artist thread</t>
  </si>
  <si>
    <t>“Artists with under 1k followers, share your work… NO AI ART.”</t>
  </si>
  <si>
    <t>Human-only declaration</t>
  </si>
  <si>
    <t>“100% human-made art here.”</t>
  </si>
  <si>
    <t>AI vs Artist debate post</t>
  </si>
  <si>
    <t>“I don’t think it will ever replace real true art and the emotion behind it.”</t>
  </si>
  <si>
    <t>“Hate AI with a burning passion.”</t>
  </si>
  <si>
    <t>Human vs AI character comparison</t>
  </si>
  <si>
    <t>“AI lacks knowledge about the character… AI is the end of creativity.”</t>
  </si>
  <si>
    <t>“AI’s anatomy is definitely better.”</t>
  </si>
  <si>
    <t>“Human is always better no question.”</t>
  </si>
  <si>
    <t>“Human wins ❤️”</t>
  </si>
  <si>
    <t>“The left one looks like Joe, the right one doesn’t.”</t>
  </si>
  <si>
    <t>Reflection post (AI &amp; meaning)</t>
  </si>
  <si>
    <t>“Maybe AI isn’t the death of art… maybe it reminds us why human-made things matter more.”</t>
  </si>
  <si>
    <t>AI art showcase</t>
  </si>
  <si>
    <t>“Studied ❌ Copied ✅”</t>
  </si>
  <si>
    <t>AI ethics debate</t>
  </si>
  <si>
    <t>“Studied? What you mean is stealing creators’ work.”</t>
  </si>
  <si>
    <t>“AI-gen companies are pirating to train AI without regards to copyright.”</t>
  </si>
  <si>
    <t>AI reveal reaction</t>
  </si>
  <si>
    <t>“Was this made with AI? … oh it was… how boring.”</t>
  </si>
  <si>
    <t>AI showcase</t>
  </si>
  <si>
    <t>“Such a vibe.”</t>
  </si>
  <si>
    <t>“Absolutely striking! Beautifully done!”</t>
  </si>
  <si>
    <t>AI cultural progress debate</t>
  </si>
  <si>
    <t>“There will always be those with fear of progress.”</t>
  </si>
  <si>
    <t>AI originality critique</t>
  </si>
  <si>
    <t>“But it isn’t original.”</t>
  </si>
  <si>
    <t>AI aesthetic critique</t>
  </si>
  <si>
    <t>“Feels more like a commercial than art. Very sterile.”</t>
  </si>
  <si>
    <t>AI narrative critique</t>
  </si>
  <si>
    <t>“These images don’t tell any story. No vision, no rhythm.”</t>
  </si>
  <si>
    <t>AI art comparison</t>
  </si>
  <si>
    <t>“Like stolen from Alma-Tadema.”</t>
  </si>
  <si>
    <t>AI value critique</t>
  </si>
  <si>
    <t>“It is as beautiful as it is worthless.”</t>
  </si>
  <si>
    <t>AI existential critique</t>
  </si>
  <si>
    <t>“Art is beautiful because we see the human effort, story, feeling.”</t>
  </si>
  <si>
    <t>AI blunt critique</t>
  </si>
  <si>
    <t>“Stole. The word you are looking for is STOLE.”</t>
  </si>
  <si>
    <t>AI aesthetic rejection</t>
  </si>
  <si>
    <t>“It’s not beautiful… because it is not human.”</t>
  </si>
  <si>
    <t>“Kinda sad it could do all that and still deliver something sloppy and bland.”</t>
  </si>
  <si>
    <t>AI critique</t>
  </si>
  <si>
    <t>“It lacks the sensitive imperfections of humanity.”</t>
  </si>
  <si>
    <t>AI support</t>
  </si>
  <si>
    <t>“Beautiful indeed =) ”</t>
  </si>
  <si>
    <t>AI vs Human comparison reel</t>
  </si>
  <si>
    <t>“the EFFORT they do to use ai 😭 atp just draw omg??”</t>
  </si>
  <si>
    <t>“I approve of AI, Actual Imagination that is.”</t>
  </si>
  <si>
    <t>AI commercialization complaint</t>
  </si>
  <si>
    <t>“I saw an ai ‘artist’ charge 100$ for their slop 💔”</t>
  </si>
  <si>
    <t>AI critique reel</t>
  </si>
  <si>
    <t>“This is why I respond ‘Ew ai’ in posts that are ai for sure”</t>
  </si>
  <si>
    <t>Anti-AI support post</t>
  </si>
  <si>
    <t>“You are the savior of the art community.”</t>
  </si>
  <si>
    <t>AI accusation discussion</t>
  </si>
  <si>
    <t>“Honest artists do get unfairly accused of being AI…”</t>
  </si>
  <si>
    <t>Anti-AI support comment</t>
  </si>
  <si>
    <t>“I’m so happy there’s a company uplifting real artists.”</t>
  </si>
  <si>
    <t>AI terminology critique</t>
  </si>
  <si>
    <t>“Let’s not call it art, it’s a generated image.”</t>
  </si>
  <si>
    <t>AI process fraud discussion</t>
  </si>
  <si>
    <t>“They fake speedpaints using AI layers underneath.”</t>
  </si>
  <si>
    <t>AI process critique</t>
  </si>
  <si>
    <t>“If they’re going through the trouble of faking the process why not just DO the process?”</t>
  </si>
  <si>
    <t>AI tool debate</t>
  </si>
  <si>
    <t>“AI art is slop, but AI can be used as a tool for study.”</t>
  </si>
  <si>
    <t>AI corporate critique</t>
  </si>
  <si>
    <t>“AI is being used in all kinds of wrong ways… especially corporations.”</t>
  </si>
  <si>
    <t>Anti-AI article post</t>
  </si>
  <si>
    <t>“AI art is not art… slop that steals from real artists.”</t>
  </si>
  <si>
    <t>Anti-AI article support</t>
  </si>
  <si>
    <t>“Let the LinkedIn folk love AI, we are allowed to hate it!”</t>
  </si>
  <si>
    <t>Anti-AI identity stance</t>
  </si>
  <si>
    <t>“I am so anti AI!”</t>
  </si>
  <si>
    <t>Automation debate</t>
  </si>
  <si>
    <t>“Using any AI is stealing… killing us… water usage.”</t>
  </si>
  <si>
    <t>AI execution critique</t>
  </si>
  <si>
    <t>“For AI art, the computer executes, not the idea person.”</t>
  </si>
  <si>
    <t>AI vs My Art comparison</t>
  </si>
  <si>
    <t>“AI is so artificial… your art is real and wonderful.”</t>
  </si>
  <si>
    <t>AI soul critique</t>
  </si>
  <si>
    <t>“AI has the most soulless eyes… real art has a soulful background.”</t>
  </si>
  <si>
    <t>AI is better claim</t>
  </si>
  <si>
    <t>“Ai is better gng”</t>
  </si>
  <si>
    <t>AI speed superiority</t>
  </si>
  <si>
    <t>“it can draw thousand times better with few seconds”</t>
  </si>
  <si>
    <t>Human spirit defense</t>
  </si>
  <si>
    <t>“The soul of the artist… no AI could replicate.”</t>
  </si>
  <si>
    <t>“Ai is better”</t>
  </si>
  <si>
    <t>Human superiority claim</t>
  </si>
  <si>
    <t>“Always better than ai 👏❤️”</t>
  </si>
  <si>
    <t>“Now that AI images are everywhere, I instead often commission designers and illustrators. Not only because real creation is more precious, but because I don’t want beautiful creators to be pushed out by mass-produced soulless AI images. The best support is to pay in real money.”</t>
  </si>
  <si>
    <t>Pro-AI collaboration post</t>
  </si>
  <si>
    <t>“Yup AI is great.”</t>
  </si>
  <si>
    <t>“I wrote a book first, then ran it through AI and merged results. It’s the best of both worlds.”</t>
  </si>
  <si>
    <t>Debate thread</t>
  </si>
  <si>
    <t>“The anxiety about AI art is about loss of control.”</t>
  </si>
  <si>
    <t>“Artists create culture… An artist made it without prompting software.”</t>
  </si>
  <si>
    <t>“AI needed all those artists to steal from.”</t>
  </si>
  <si>
    <t>“AI doesn’t steal; it trains on stock photos etc.”</t>
  </si>
  <si>
    <t>“The terrible output of AI users shows how special artists are.”</t>
  </si>
  <si>
    <t>“Artists practiced and dedicated time; it’s dedication.”</t>
  </si>
  <si>
    <t>AI value reflection</t>
  </si>
  <si>
    <t>“AI art is just commodification… true art comes from human struggle.”</t>
  </si>
  <si>
    <t>AI hypocrisy debate</t>
  </si>
  <si>
    <t>“People scream ‘AI steals art’ while stealing AI art.”</t>
  </si>
  <si>
    <t>Anti-AI claim</t>
  </si>
  <si>
    <t>“AI slop claiming as art is crazy.”</t>
  </si>
  <si>
    <t>AI value debate</t>
  </si>
  <si>
    <t>“Art is about the process… with AI there is no process.”</t>
  </si>
  <si>
    <t>“There is no such thing as art if AI makes it.”</t>
  </si>
  <si>
    <t>Anti-AI consumer behavior</t>
  </si>
  <si>
    <t>“Etsy is full of AI nonsense. I want to support artists directly.”</t>
  </si>
  <si>
    <t>Anti-AI post</t>
  </si>
  <si>
    <t>“Fuck AI. Keep creating.”</t>
  </si>
  <si>
    <t>Anti-AI algorithm appeal</t>
  </si>
  <si>
    <t>“Dear algorithm, show me real artists. Absolutely no AI.”</t>
  </si>
  <si>
    <t>Anti-AI labeling</t>
  </si>
  <si>
    <t>“No AI.” (self-label emphasis)</t>
  </si>
  <si>
    <t>Engagement disparity debate</t>
  </si>
  <si>
    <t>“AI pages get more appreciation while real artists beg for likes.”</t>
  </si>
  <si>
    <t>Engagement explanation</t>
  </si>
  <si>
    <t>“AI images are faster and feed the algorithm better.”</t>
  </si>
  <si>
    <t>“A well-made AI image is often better than an average human one.”</t>
  </si>
  <si>
    <t>Minority stance claim</t>
  </si>
  <si>
    <t>“Only about 1 in 20 people strongly oppose AI.”</t>
  </si>
  <si>
    <t>Speed argument</t>
  </si>
  <si>
    <t>“AI can produce images in seconds. Real art takes time.”</t>
  </si>
  <si>
    <t>Theft analogy</t>
  </si>
  <si>
    <t>“Real artist spends 2 hours drawing; thief takes 2 minutes and markets it.”</t>
  </si>
  <si>
    <t>Environmental argument</t>
  </si>
  <si>
    <t>“Using AI shows you are lazy and okay with destroying water/resources.”</t>
  </si>
  <si>
    <t>Defense of imperfect human art</t>
  </si>
  <si>
    <t>“This scribble is more art than AI art.”</t>
  </si>
  <si>
    <t xml:space="preserve">Anti-AI support post </t>
  </si>
  <si>
    <t>“I don’t get why some people frame AI as the enemy of art. Art comes from the human mind. Always has. Always will. AI doesn’t replace the artist. It amplifies the artist. It’s a tool. A powerful one.”</t>
  </si>
  <si>
    <t>No</t>
  </si>
  <si>
    <t>"AI will never truly replace artists… it will never take the humanity out of a piece made by human hands."</t>
  </si>
  <si>
    <t>"AI can't replace artists. But sadly, customers will allow AI to replace us."</t>
  </si>
  <si>
    <t>"AI will never be as original as human artists."</t>
  </si>
  <si>
    <t>"It's taking away jobs and does a terrible job."</t>
  </si>
  <si>
    <t>"AI should be used as a tool for artists, not a replacement."</t>
  </si>
  <si>
    <t>AI debate comment</t>
  </si>
  <si>
    <t>"AI art doesn't have what real art has… skill that went into it."</t>
  </si>
  <si>
    <t>AI accessibility post</t>
  </si>
  <si>
    <t>"I use AI because I can't draw."</t>
  </si>
  <si>
    <t>AI debate</t>
  </si>
  <si>
    <t>"AI generated images will NEVER be art."</t>
  </si>
  <si>
    <t>"You won't lose artists. Digital didn't erase acoustic."</t>
  </si>
  <si>
    <t>Artist reflection post</t>
  </si>
  <si>
    <t>"Art has always been about intention, imperfection, lived experience."</t>
  </si>
  <si>
    <t>"I chose storytelling… what AI can't generate: real life, doubts."</t>
  </si>
  <si>
    <t>"Hate AI with a burning passion."</t>
  </si>
  <si>
    <t>AI vs Human debate</t>
  </si>
  <si>
    <t>AI showcase post</t>
  </si>
  <si>
    <t>"Feeling heavenly ✨"</t>
  </si>
  <si>
    <t>"AI art is NOT REAL ART… key word HUMAN."</t>
  </si>
  <si>
    <t>"You can argue the authors of the LLMs are the real artists… procedural art tradition…"</t>
  </si>
  <si>
    <t>AI community networking post</t>
  </si>
  <si>
    <t>"Share your best AI art of the week. Connect with creators."</t>
  </si>
  <si>
    <t>AI creator introduction</t>
  </si>
  <si>
    <t>"I create AI arts and share prompts and tutorials."</t>
  </si>
  <si>
    <t>Anti-AI statement</t>
  </si>
  <si>
    <t>"AI actively steals from artists. It is ART THEFT."</t>
  </si>
  <si>
    <t>"It drains creativity and diminishes true artistic skill…"</t>
  </si>
  <si>
    <t>AI vs Human historical comparison</t>
  </si>
  <si>
    <t>"AI isn't even art… Digital artists aren't real artists… Picasso is not real art…"</t>
  </si>
  <si>
    <t>Human artist defense</t>
  </si>
  <si>
    <t>"Art needs a HUMAN PROCESS… AI has no human creativity process."</t>
  </si>
  <si>
    <t>Anti-AI market critique</t>
  </si>
  <si>
    <t>"How can you support artists when you allow AI into art markets?"</t>
  </si>
  <si>
    <t>Column Name</t>
  </si>
  <si>
    <t>Data Type</t>
  </si>
  <si>
    <t>Description</t>
  </si>
  <si>
    <t>Boolean</t>
  </si>
  <si>
    <t>Text</t>
  </si>
  <si>
    <t>Categorical</t>
  </si>
  <si>
    <t>Frame Name</t>
  </si>
  <si>
    <t>Contextual Focus</t>
  </si>
  <si>
    <t xml:space="preserve"> Data Integrity &amp; Validation Rules</t>
  </si>
  <si>
    <t>Aesthetic Evaluation</t>
  </si>
  <si>
    <t>Blind AI Post</t>
  </si>
  <si>
    <t>"Magnifique"</t>
  </si>
  <si>
    <t>"Holy moly! These are breathtaking!"</t>
  </si>
  <si>
    <t>"Espectacular"</t>
  </si>
  <si>
    <t>"Wow!"</t>
  </si>
  <si>
    <t>"Stunning"</t>
  </si>
  <si>
    <t>"This is Sublime."</t>
  </si>
  <si>
    <t>"Beautiful capture"</t>
  </si>
  <si>
    <t>"Just Beautiful"</t>
  </si>
  <si>
    <t>"You have big talent"</t>
  </si>
  <si>
    <t>"Vote with fings"</t>
  </si>
  <si>
    <t>"So whether you're a fan on an AI assisted song or not the message of this song is really good…"</t>
  </si>
  <si>
    <t>"The song message doesn't matter when you use AI."</t>
  </si>
  <si>
    <t>"WHY DID YOU USE AI BRO"</t>
  </si>
  <si>
    <t>"Is this AI?"</t>
  </si>
  <si>
    <t>"AI other than lyrics"</t>
  </si>
  <si>
    <t>"AI… no interest"</t>
  </si>
  <si>
    <t>interaction_depth</t>
  </si>
  <si>
    <t>words_count</t>
  </si>
  <si>
    <t>arguement_marker</t>
  </si>
  <si>
    <t>Indicates whether the original post explicitly disclosed the use of AI in generating the artwork.</t>
  </si>
  <si>
    <t>Raw text of the audience comment collected from the platform.</t>
  </si>
  <si>
    <t>Manual classification of the interpretive frame used in the comment based on the cultural framing taxonomy.</t>
  </si>
  <si>
    <t>Integer</t>
  </si>
  <si>
    <t>Number of words in the comment. Used as a proxy for engagement intensity.</t>
  </si>
  <si>
    <t>argument_marker</t>
  </si>
  <si>
    <t>Indicates whether the comment contains argumentative language markers (e.g., "because", "should", "but", "however").</t>
  </si>
  <si>
    <r>
      <t xml:space="preserve">Engagement depth classification derived from text features. Values: </t>
    </r>
    <r>
      <rPr>
        <b/>
        <sz val="11"/>
        <color theme="1"/>
        <rFont val="Aptos Narrow"/>
        <family val="2"/>
        <scheme val="minor"/>
      </rPr>
      <t>High, Low</t>
    </r>
    <r>
      <rPr>
        <sz val="11"/>
        <color theme="1"/>
        <rFont val="Aptos Narrow"/>
        <family val="2"/>
        <scheme val="minor"/>
      </rPr>
      <t>.</t>
    </r>
  </si>
  <si>
    <t>Field</t>
  </si>
  <si>
    <t>Value</t>
  </si>
  <si>
    <t>Project Title</t>
  </si>
  <si>
    <t>Interpreting the Machine: How Public Discourse Shapes the Cultural Reception of AI-Generated Art</t>
  </si>
  <si>
    <t>Version</t>
  </si>
  <si>
    <t>1.0 (Pilot Audit Sample)</t>
  </si>
  <si>
    <t>Last Updated</t>
  </si>
  <si>
    <t>Dataset Size</t>
  </si>
  <si>
    <t>Platforms</t>
  </si>
  <si>
    <t>Instagram, Threads</t>
  </si>
  <si>
    <t>A curated dataset of cross-platform comments capturing audience sentiment, interpretive frames, and discourse patterns related to AI-generated artworks versus human-created art.</t>
  </si>
  <si>
    <r>
      <t xml:space="preserve">Manually coded stance toward AI-generated art. Values: </t>
    </r>
    <r>
      <rPr>
        <b/>
        <sz val="11"/>
        <color theme="1"/>
        <rFont val="Aptos Narrow"/>
        <family val="2"/>
        <scheme val="minor"/>
      </rPr>
      <t>Positive, Negative, Neutral,Mixed</t>
    </r>
    <r>
      <rPr>
        <sz val="11"/>
        <color theme="1"/>
        <rFont val="Aptos Narrow"/>
        <family val="2"/>
        <scheme val="minor"/>
      </rPr>
      <t>.</t>
    </r>
  </si>
  <si>
    <t>Example Keywords</t>
  </si>
  <si>
    <t>Analytical Purpose</t>
  </si>
  <si>
    <t>Focus on human emotion, meaning, and shared experience.</t>
  </si>
  <si>
    <t>soul, connection, memory, relatable, intent</t>
  </si>
  <si>
    <t>Captures audience emphasis on human authenticity in art.</t>
  </si>
  <si>
    <t>Praise for technological capability or tool performance.</t>
  </si>
  <si>
    <t>prompt, high-res, rendering, AI capability</t>
  </si>
  <si>
    <t>Measures audience interest in technological innovation.</t>
  </si>
  <si>
    <t>Concerns around plagiarism, copyright, and ethical use.</t>
  </si>
  <si>
    <t>theft, stealing, copyright, ethics</t>
  </si>
  <si>
    <t>Detects governance and legal discourse in AI art debates.</t>
  </si>
  <si>
    <t>Immediate visual or sensory reactions without deeper reasoning.</t>
  </si>
  <si>
    <t>beautiful, cool, vivid, color palette</t>
  </si>
  <si>
    <t>Captures surface-level aesthetic appreciation.</t>
  </si>
  <si>
    <t>Debates about creator identity and originality.</t>
  </si>
  <si>
    <t>human-made, real art, original, generator</t>
  </si>
  <si>
    <t>Reflects discussions of authorship legitimacy and scarcity value.</t>
  </si>
  <si>
    <t>Recognition of effort, process, or narrative behind the artwork.</t>
  </si>
  <si>
    <t>process, hours spent, hard work, backstory</t>
  </si>
  <si>
    <t>Identifies appreciation for human creative labor.</t>
  </si>
  <si>
    <t>Rule Type</t>
  </si>
  <si>
    <t>Rule Description</t>
  </si>
  <si>
    <t>Language Flag</t>
  </si>
  <si>
    <r>
      <t xml:space="preserve">All </t>
    </r>
    <r>
      <rPr>
        <sz val="10"/>
        <color theme="1"/>
        <rFont val="Arial Unicode MS"/>
      </rPr>
      <t>comment_text</t>
    </r>
    <r>
      <rPr>
        <sz val="11"/>
        <color theme="1"/>
        <rFont val="Aptos Narrow"/>
        <family val="2"/>
        <scheme val="minor"/>
      </rPr>
      <t xml:space="preserve"> entries should be labeled by language (EN or CHN) for downstream NLP compatibility.</t>
    </r>
  </si>
  <si>
    <t>Disclosure Consistency</t>
  </si>
  <si>
    <r>
      <t xml:space="preserve">Cases where </t>
    </r>
    <r>
      <rPr>
        <sz val="10"/>
        <color theme="1"/>
        <rFont val="Arial Unicode MS"/>
      </rPr>
      <t>ai_disclosed = No</t>
    </r>
    <r>
      <rPr>
        <sz val="11"/>
        <color theme="1"/>
        <rFont val="Aptos Narrow"/>
        <family val="2"/>
        <scheme val="minor"/>
      </rPr>
      <t xml:space="preserve"> but </t>
    </r>
    <r>
      <rPr>
        <sz val="10"/>
        <color theme="1"/>
        <rFont val="Arial Unicode MS"/>
      </rPr>
      <t>frame_manual = Authorship &amp; Scarcity Value</t>
    </r>
    <r>
      <rPr>
        <sz val="11"/>
        <color theme="1"/>
        <rFont val="Aptos Narrow"/>
        <family val="2"/>
        <scheme val="minor"/>
      </rPr>
      <t xml:space="preserve"> may indicate </t>
    </r>
    <r>
      <rPr>
        <b/>
        <sz val="11"/>
        <color theme="1"/>
        <rFont val="Aptos Narrow"/>
        <family val="2"/>
        <scheme val="minor"/>
      </rPr>
      <t>implicit AI detection or skepticism</t>
    </r>
    <r>
      <rPr>
        <sz val="11"/>
        <color theme="1"/>
        <rFont val="Aptos Narrow"/>
        <family val="2"/>
        <scheme val="minor"/>
      </rPr>
      <t xml:space="preserve"> and should be flagged for review.</t>
    </r>
  </si>
  <si>
    <t>Text Normalization</t>
  </si>
  <si>
    <t>All textual data should be standardized to lowercase to ensure consistency (e.g., AI, ai, A.I.).</t>
  </si>
  <si>
    <t>Missing Data</t>
  </si>
  <si>
    <r>
      <t xml:space="preserve">Records with missing </t>
    </r>
    <r>
      <rPr>
        <sz val="10"/>
        <color theme="1"/>
        <rFont val="Arial Unicode MS"/>
      </rPr>
      <t>frame_manual</t>
    </r>
    <r>
      <rPr>
        <sz val="11"/>
        <color theme="1"/>
        <rFont val="Aptos Narrow"/>
        <family val="2"/>
        <scheme val="minor"/>
      </rPr>
      <t xml:space="preserve"> or </t>
    </r>
    <r>
      <rPr>
        <sz val="10"/>
        <color theme="1"/>
        <rFont val="Arial Unicode MS"/>
      </rPr>
      <t>stance_manual</t>
    </r>
    <r>
      <rPr>
        <sz val="11"/>
        <color theme="1"/>
        <rFont val="Aptos Narrow"/>
        <family val="2"/>
        <scheme val="minor"/>
      </rPr>
      <t xml:space="preserve"> values should be reviewed before analysis.</t>
    </r>
  </si>
  <si>
    <t>Love this!!</t>
  </si>
  <si>
    <t>Precioso ❤️</t>
  </si>
  <si>
    <t>Amazing 😍👏</t>
  </si>
  <si>
    <t>Lindooo 😍</t>
  </si>
  <si>
    <t>❤️❤️❤️</t>
  </si>
  <si>
    <t>Beautiful</t>
  </si>
  <si>
    <t>support human artists, not AI slop 😊💗</t>
  </si>
  <si>
    <t>AI generated images are NOT art. ART is CREATED, not generated. It has also always been accessible, humans literally used to draw on cave walls just to show that they were there.</t>
  </si>
  <si>
    <t>Fun fact. If there were no artists prior to the development of AI, you could not "create" AI art. AI art is generated from existing artwork made by human artists.</t>
  </si>
  <si>
    <t>AI is generated from stolen artwork made by human artists who did not consent or agree to have their work used.</t>
  </si>
  <si>
    <t>I see this more as an additive than a correction. The fact art is stolen was implied in my original post.</t>
  </si>
  <si>
    <t>I think they will find the answer in their own words if they read them back- If they practice. AI requires no practice. No skill.</t>
  </si>
  <si>
    <t>This is a call-out shared to bring awareness and offer context... AI-generated art can be harmful to human artists... choosing to support real people matters...</t>
  </si>
  <si>
    <t>ART ART I WANT MORE ART FROM REAL FUCKIN PEOPLE NOT AI PLS</t>
  </si>
  <si>
    <t>Wtf do you think practice is</t>
  </si>
  <si>
    <t>Artists spent decades telling people ‘anyone can draw if they practice’... now art requires ‘soul’ and ‘suffering’... you just wanted to be special.</t>
  </si>
  <si>
    <t>Art is not about what you create! Art will always be about the process of making... AI takes that away...</t>
  </si>
  <si>
    <t>Can AI-generated art ever carry the same emotional weight as human-made art?</t>
  </si>
  <si>
    <t>AI art isn’t stealing customers... people who value creativity want something real, something human...</t>
  </si>
  <si>
    <t>I wanna see some human made art instead of ai generated one</t>
  </si>
  <si>
    <t>I'm so sick of seeing AI art everywhere. I'm STARVING for real, human-made art.</t>
  </si>
  <si>
    <t>REAL CREATORS ⭐ drop your art even unfinished human made NO AI</t>
  </si>
  <si>
    <t>I’m exhausted by the flood of AI-generated art everywhere. I miss work made by human hands.</t>
  </si>
  <si>
    <t>👏</t>
  </si>
  <si>
    <t>❤️</t>
  </si>
  <si>
    <t>!!!!!! 👏</t>
  </si>
  <si>
    <t>Prompt are not art, repeat with me people, PICTURES MADE OF IA ARE NOT ART... Art is inherently tied to human existence</t>
  </si>
  <si>
    <t>Seriously some of the best photos I’ve seen</t>
  </si>
  <si>
    <t>these are AI, but thanks!</t>
  </si>
  <si>
    <t>yeahyeah, "photos", "pictures", call it what u want, you know what i mean</t>
  </si>
  <si>
    <t>Wow 😍</t>
  </si>
  <si>
    <t>200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</si>
</sst>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theme="1"/>
      <name val="Aptos Narrow"/>
      <family val="2"/>
      <scheme val="minor"/>
    </font>
    <font>
      <b/>
      <sz val="11"/>
      <color theme="1"/>
      <name val="Aptos Display"/>
      <family val="2"/>
      <scheme val="major"/>
    </font>
    <font>
      <b/>
      <sz val="13.5"/>
      <color theme="1"/>
      <name val="Aptos Narrow"/>
      <family val="2"/>
      <scheme val="minor"/>
    </font>
    <font>
      <sz val="10"/>
      <color theme="1"/>
      <name val="Arial Unicode MS"/>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left" vertical="top"/>
    </xf>
    <xf numFmtId="0" fontId="2" fillId="0" borderId="0" xfId="0" applyFont="1" applyAlignment="1">
      <alignment vertical="top"/>
    </xf>
    <xf numFmtId="0" fontId="2" fillId="0" borderId="0" xfId="0" applyFont="1" applyAlignment="1">
      <alignment horizontal="left" vertical="top"/>
    </xf>
    <xf numFmtId="0" fontId="0" fillId="0" borderId="0" xfId="0" applyAlignment="1">
      <alignment vertical="center" wrapText="1"/>
    </xf>
    <xf numFmtId="0" fontId="1" fillId="0" borderId="0" xfId="0" applyFont="1" applyAlignment="1">
      <alignment horizontal="center" vertical="center"/>
    </xf>
    <xf numFmtId="0" fontId="0" fillId="0" borderId="0" xfId="0" applyAlignment="1">
      <alignment horizontal="left" vertical="center" wrapText="1"/>
    </xf>
    <xf numFmtId="0" fontId="0" fillId="0" borderId="0" xfId="0" applyAlignment="1">
      <alignment horizontal="left" vertical="top" wrapText="1"/>
    </xf>
    <xf numFmtId="0" fontId="1" fillId="0" borderId="0" xfId="0" applyFont="1" applyAlignment="1">
      <alignment horizontal="center" vertical="center" wrapText="1"/>
    </xf>
    <xf numFmtId="0" fontId="0" fillId="0" borderId="0" xfId="0" applyAlignment="1">
      <alignment horizontal="center" wrapText="1"/>
    </xf>
    <xf numFmtId="0" fontId="0" fillId="0" borderId="0" xfId="0" applyAlignment="1">
      <alignment wrapText="1"/>
    </xf>
    <xf numFmtId="0" fontId="1" fillId="0" borderId="0" xfId="0" applyFont="1"/>
    <xf numFmtId="0" fontId="3"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1" fillId="0" borderId="1" xfId="0" applyFont="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left" vertical="center"/>
    </xf>
    <xf numFmtId="15" fontId="0" fillId="0" borderId="0" xfId="0" applyNumberForma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A0EFD-AD58-4D09-81C6-2A0C78FEAE73}">
  <dimension ref="B1:G2"/>
  <sheetViews>
    <sheetView workbookViewId="0">
      <selection activeCell="C4" sqref="C4"/>
    </sheetView>
  </sheetViews>
  <sheetFormatPr defaultRowHeight="14.5"/>
  <cols>
    <col min="2" max="2" width="8.1796875" bestFit="1" customWidth="1"/>
    <col min="3" max="3" width="11.90625" bestFit="1" customWidth="1"/>
    <col min="4" max="4" width="11.453125" bestFit="1" customWidth="1"/>
    <col min="5" max="5" width="13.1796875" bestFit="1" customWidth="1"/>
    <col min="6" max="6" width="13.90625" bestFit="1" customWidth="1"/>
    <col min="7" max="7" width="13.1796875" style="3" bestFit="1" customWidth="1"/>
  </cols>
  <sheetData>
    <row r="1" spans="2:7">
      <c r="B1" s="4" t="s">
        <v>0</v>
      </c>
      <c r="C1" s="4" t="s">
        <v>1</v>
      </c>
      <c r="D1" s="4" t="s">
        <v>2</v>
      </c>
      <c r="E1" s="4" t="s">
        <v>3</v>
      </c>
      <c r="F1" s="4" t="s">
        <v>4</v>
      </c>
      <c r="G1" s="5" t="s">
        <v>5</v>
      </c>
    </row>
    <row r="2" spans="2:7">
      <c r="B2" t="s">
        <v>6</v>
      </c>
      <c r="C2" t="s">
        <v>7</v>
      </c>
      <c r="D2" t="s">
        <v>8</v>
      </c>
      <c r="E2" t="s">
        <v>9</v>
      </c>
      <c r="F2" t="s">
        <v>10</v>
      </c>
      <c r="G2" s="3"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C6348-AC66-4D26-B0A0-6CE778D2738A}">
  <dimension ref="A2:D28"/>
  <sheetViews>
    <sheetView workbookViewId="0">
      <selection activeCell="B7" sqref="B7"/>
    </sheetView>
  </sheetViews>
  <sheetFormatPr defaultRowHeight="14.5"/>
  <cols>
    <col min="1" max="1" width="19.81640625" customWidth="1"/>
    <col min="2" max="2" width="80.7265625" bestFit="1" customWidth="1"/>
    <col min="3" max="3" width="32.81640625" customWidth="1"/>
    <col min="4" max="4" width="34.08984375" customWidth="1"/>
  </cols>
  <sheetData>
    <row r="2" spans="1:4">
      <c r="A2" s="10" t="s">
        <v>324</v>
      </c>
      <c r="B2" s="10" t="s">
        <v>325</v>
      </c>
    </row>
    <row r="3" spans="1:4">
      <c r="A3" s="6" t="s">
        <v>326</v>
      </c>
      <c r="B3" s="6" t="s">
        <v>327</v>
      </c>
    </row>
    <row r="4" spans="1:4">
      <c r="A4" s="6" t="s">
        <v>328</v>
      </c>
      <c r="B4" s="6" t="s">
        <v>329</v>
      </c>
    </row>
    <row r="5" spans="1:4">
      <c r="A5" s="6" t="s">
        <v>330</v>
      </c>
      <c r="B5" s="20">
        <v>46112</v>
      </c>
    </row>
    <row r="6" spans="1:4">
      <c r="A6" s="6" t="s">
        <v>331</v>
      </c>
      <c r="B6" s="6" t="s">
        <v>397</v>
      </c>
    </row>
    <row r="7" spans="1:4">
      <c r="A7" s="6" t="s">
        <v>332</v>
      </c>
      <c r="B7" s="6" t="s">
        <v>333</v>
      </c>
    </row>
    <row r="8" spans="1:4" ht="29">
      <c r="A8" s="6" t="s">
        <v>288</v>
      </c>
      <c r="B8" s="6" t="s">
        <v>334</v>
      </c>
    </row>
    <row r="10" spans="1:4">
      <c r="A10" s="17" t="s">
        <v>292</v>
      </c>
      <c r="B10" s="17" t="s">
        <v>293</v>
      </c>
      <c r="C10" s="17" t="s">
        <v>336</v>
      </c>
      <c r="D10" s="17" t="s">
        <v>337</v>
      </c>
    </row>
    <row r="11" spans="1:4" ht="28.5" customHeight="1">
      <c r="A11" s="18" t="s">
        <v>56</v>
      </c>
      <c r="B11" s="18" t="s">
        <v>338</v>
      </c>
      <c r="C11" s="18" t="s">
        <v>339</v>
      </c>
      <c r="D11" s="18" t="s">
        <v>340</v>
      </c>
    </row>
    <row r="12" spans="1:4" ht="43.5">
      <c r="A12" s="18" t="s">
        <v>64</v>
      </c>
      <c r="B12" s="18" t="s">
        <v>341</v>
      </c>
      <c r="C12" s="18" t="s">
        <v>342</v>
      </c>
      <c r="D12" s="18" t="s">
        <v>343</v>
      </c>
    </row>
    <row r="13" spans="1:4" ht="29">
      <c r="A13" s="18" t="s">
        <v>70</v>
      </c>
      <c r="B13" s="18" t="s">
        <v>344</v>
      </c>
      <c r="C13" s="18" t="s">
        <v>345</v>
      </c>
      <c r="D13" s="18" t="s">
        <v>346</v>
      </c>
    </row>
    <row r="14" spans="1:4" ht="29">
      <c r="A14" s="18" t="s">
        <v>295</v>
      </c>
      <c r="B14" s="18" t="s">
        <v>347</v>
      </c>
      <c r="C14" s="18" t="s">
        <v>348</v>
      </c>
      <c r="D14" s="18" t="s">
        <v>349</v>
      </c>
    </row>
    <row r="15" spans="1:4" ht="29">
      <c r="A15" s="18" t="s">
        <v>62</v>
      </c>
      <c r="B15" s="18" t="s">
        <v>350</v>
      </c>
      <c r="C15" s="18" t="s">
        <v>351</v>
      </c>
      <c r="D15" s="18" t="s">
        <v>352</v>
      </c>
    </row>
    <row r="16" spans="1:4" ht="29">
      <c r="A16" s="18" t="s">
        <v>59</v>
      </c>
      <c r="B16" s="18" t="s">
        <v>353</v>
      </c>
      <c r="C16" s="18" t="s">
        <v>354</v>
      </c>
      <c r="D16" s="18" t="s">
        <v>355</v>
      </c>
    </row>
    <row r="17" spans="1:2">
      <c r="A17" s="15"/>
    </row>
    <row r="20" spans="1:2" ht="17.5">
      <c r="A20" s="14" t="s">
        <v>294</v>
      </c>
    </row>
    <row r="22" spans="1:2">
      <c r="A22" s="17" t="s">
        <v>356</v>
      </c>
      <c r="B22" s="17" t="s">
        <v>357</v>
      </c>
    </row>
    <row r="23" spans="1:2" ht="29">
      <c r="A23" s="18" t="s">
        <v>358</v>
      </c>
      <c r="B23" s="18" t="s">
        <v>359</v>
      </c>
    </row>
    <row r="24" spans="1:2" ht="29">
      <c r="A24" s="18" t="s">
        <v>360</v>
      </c>
      <c r="B24" s="18" t="s">
        <v>361</v>
      </c>
    </row>
    <row r="25" spans="1:2">
      <c r="A25" s="18" t="s">
        <v>362</v>
      </c>
      <c r="B25" s="18" t="s">
        <v>363</v>
      </c>
    </row>
    <row r="26" spans="1:2">
      <c r="A26" s="18" t="s">
        <v>364</v>
      </c>
      <c r="B26" s="18" t="s">
        <v>365</v>
      </c>
    </row>
    <row r="27" spans="1:2">
      <c r="A27" s="15"/>
    </row>
    <row r="28" spans="1:2">
      <c r="A28" s="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3E9CA-5389-4007-899D-6C2FB34EF928}">
  <dimension ref="A1:C8"/>
  <sheetViews>
    <sheetView workbookViewId="0">
      <selection activeCell="C5" sqref="C5"/>
    </sheetView>
  </sheetViews>
  <sheetFormatPr defaultRowHeight="14.5"/>
  <cols>
    <col min="1" max="1" width="16.54296875" customWidth="1"/>
    <col min="2" max="2" width="12.08984375" customWidth="1"/>
    <col min="3" max="3" width="87.90625" customWidth="1"/>
  </cols>
  <sheetData>
    <row r="1" spans="1:3">
      <c r="A1" s="17" t="s">
        <v>286</v>
      </c>
      <c r="B1" s="17" t="s">
        <v>287</v>
      </c>
      <c r="C1" s="17" t="s">
        <v>288</v>
      </c>
    </row>
    <row r="2" spans="1:3">
      <c r="A2" s="19" t="s">
        <v>2</v>
      </c>
      <c r="B2" s="18" t="s">
        <v>289</v>
      </c>
      <c r="C2" s="18" t="s">
        <v>316</v>
      </c>
    </row>
    <row r="3" spans="1:3">
      <c r="A3" s="19" t="s">
        <v>3</v>
      </c>
      <c r="B3" s="18" t="s">
        <v>290</v>
      </c>
      <c r="C3" s="18" t="s">
        <v>317</v>
      </c>
    </row>
    <row r="4" spans="1:3">
      <c r="A4" s="19" t="s">
        <v>4</v>
      </c>
      <c r="B4" s="18" t="s">
        <v>291</v>
      </c>
      <c r="C4" s="18" t="s">
        <v>335</v>
      </c>
    </row>
    <row r="5" spans="1:3" ht="29">
      <c r="A5" s="19" t="s">
        <v>5</v>
      </c>
      <c r="B5" s="18" t="s">
        <v>291</v>
      </c>
      <c r="C5" s="18" t="s">
        <v>318</v>
      </c>
    </row>
    <row r="6" spans="1:3">
      <c r="A6" s="19" t="s">
        <v>314</v>
      </c>
      <c r="B6" s="18" t="s">
        <v>319</v>
      </c>
      <c r="C6" s="18" t="s">
        <v>320</v>
      </c>
    </row>
    <row r="7" spans="1:3" ht="29">
      <c r="A7" s="19" t="s">
        <v>321</v>
      </c>
      <c r="B7" s="18" t="s">
        <v>289</v>
      </c>
      <c r="C7" s="18" t="s">
        <v>322</v>
      </c>
    </row>
    <row r="8" spans="1:3">
      <c r="A8" s="19" t="s">
        <v>313</v>
      </c>
      <c r="B8" s="18" t="s">
        <v>291</v>
      </c>
      <c r="C8" s="18" t="s">
        <v>323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9534E-EE9F-459D-B99C-C359CAA4EDFB}">
  <dimension ref="B1:J201"/>
  <sheetViews>
    <sheetView tabSelected="1" zoomScaleNormal="100" workbookViewId="0">
      <selection activeCell="E7" sqref="E7"/>
    </sheetView>
  </sheetViews>
  <sheetFormatPr defaultRowHeight="14.5"/>
  <cols>
    <col min="2" max="2" width="8.90625" bestFit="1" customWidth="1"/>
    <col min="3" max="3" width="26.26953125" style="12" customWidth="1"/>
    <col min="4" max="4" width="16.1796875" bestFit="1" customWidth="1"/>
    <col min="5" max="5" width="70.6328125" bestFit="1" customWidth="1"/>
    <col min="6" max="6" width="13.7265625" bestFit="1" customWidth="1"/>
    <col min="7" max="7" width="29.7265625" bestFit="1" customWidth="1"/>
    <col min="8" max="8" width="14.54296875" customWidth="1"/>
    <col min="9" max="9" width="18" customWidth="1"/>
    <col min="10" max="10" width="15.7265625" customWidth="1"/>
  </cols>
  <sheetData>
    <row r="1" spans="2:10">
      <c r="B1" s="7" t="s">
        <v>0</v>
      </c>
      <c r="C1" s="10" t="s">
        <v>1</v>
      </c>
      <c r="D1" s="7" t="s">
        <v>2</v>
      </c>
      <c r="E1" s="7" t="s">
        <v>3</v>
      </c>
      <c r="F1" s="7" t="s">
        <v>4</v>
      </c>
      <c r="G1" s="7" t="s">
        <v>5</v>
      </c>
      <c r="H1" s="7" t="s">
        <v>314</v>
      </c>
      <c r="I1" s="7" t="s">
        <v>315</v>
      </c>
      <c r="J1" s="13" t="s">
        <v>313</v>
      </c>
    </row>
    <row r="2" spans="2:10">
      <c r="B2" s="2" t="s">
        <v>12</v>
      </c>
      <c r="C2" s="1" t="s">
        <v>13</v>
      </c>
      <c r="D2" s="2" t="s">
        <v>8</v>
      </c>
      <c r="E2" s="3" t="s">
        <v>14</v>
      </c>
      <c r="F2" s="2" t="s">
        <v>10</v>
      </c>
      <c r="G2" s="2" t="s">
        <v>295</v>
      </c>
      <c r="H2" s="2">
        <f>LEN(TRIM(E2))-LEN(SUBSTITUTE(E2," ",""))+1</f>
        <v>7</v>
      </c>
      <c r="I2" s="2" t="str">
        <f>IF(OR(
ISNUMBER(SEARCH("because",E2)),
ISNUMBER(SEARCH("therefore",E2)),
ISNUMBER(SEARCH("according",E2)),
ISNUMBER(SEARCH("should",E2)),
ISNUMBER(SEARCH("must",E2)),
ISNUMBER(SEARCH("real",E2)),
ISNUMBER(SEARCH("human",E2)),
ISNUMBER(SEARCH("original",E2)),
ISNUMBER(SEARCH("process",E2))
),"Yes","No")</f>
        <v>No</v>
      </c>
      <c r="J2" s="2" t="str">
        <f>IF(OR(H2&gt;15,I2="Yes"),"High","Low")</f>
        <v>Low</v>
      </c>
    </row>
    <row r="3" spans="2:10">
      <c r="B3" s="2" t="s">
        <v>12</v>
      </c>
      <c r="C3" s="1" t="s">
        <v>13</v>
      </c>
      <c r="D3" s="2" t="s">
        <v>8</v>
      </c>
      <c r="E3" s="3" t="s">
        <v>16</v>
      </c>
      <c r="F3" s="2" t="s">
        <v>10</v>
      </c>
      <c r="G3" s="1" t="s">
        <v>56</v>
      </c>
      <c r="H3" s="2">
        <f t="shared" ref="H3:H66" si="0">LEN(TRIM(E3))-LEN(SUBSTITUTE(E3," ",""))+1</f>
        <v>9</v>
      </c>
      <c r="I3" s="2" t="str">
        <f t="shared" ref="I3:I66" si="1">IF(OR(
ISNUMBER(SEARCH("because",E3)),
ISNUMBER(SEARCH("therefore",E3)),
ISNUMBER(SEARCH("according",E3)),
ISNUMBER(SEARCH("should",E3)),
ISNUMBER(SEARCH("must",E3)),
ISNUMBER(SEARCH("real",E3)),
ISNUMBER(SEARCH("human",E3)),
ISNUMBER(SEARCH("original",E3)),
ISNUMBER(SEARCH("process",E3))
),"Yes","No")</f>
        <v>No</v>
      </c>
      <c r="J3" s="2" t="str">
        <f t="shared" ref="J3:J66" si="2">IF(OR(H3&gt;15,I3="Yes"),"High","Low")</f>
        <v>Low</v>
      </c>
    </row>
    <row r="4" spans="2:10" ht="29">
      <c r="B4" s="2" t="s">
        <v>12</v>
      </c>
      <c r="C4" s="1" t="s">
        <v>17</v>
      </c>
      <c r="D4" s="2" t="s">
        <v>8</v>
      </c>
      <c r="E4" s="3" t="s">
        <v>38</v>
      </c>
      <c r="F4" s="2" t="s">
        <v>10</v>
      </c>
      <c r="G4" s="1" t="s">
        <v>59</v>
      </c>
      <c r="H4" s="2">
        <f t="shared" si="0"/>
        <v>10</v>
      </c>
      <c r="I4" s="2" t="str">
        <f t="shared" si="1"/>
        <v>Yes</v>
      </c>
      <c r="J4" s="2" t="str">
        <f t="shared" si="2"/>
        <v>High</v>
      </c>
    </row>
    <row r="5" spans="2:10">
      <c r="B5" s="2" t="s">
        <v>18</v>
      </c>
      <c r="C5" s="1" t="s">
        <v>19</v>
      </c>
      <c r="D5" s="2" t="s">
        <v>8</v>
      </c>
      <c r="E5" s="3" t="s">
        <v>20</v>
      </c>
      <c r="F5" s="2" t="s">
        <v>21</v>
      </c>
      <c r="G5" s="2" t="s">
        <v>295</v>
      </c>
      <c r="H5" s="2">
        <f t="shared" si="0"/>
        <v>1</v>
      </c>
      <c r="I5" s="2" t="str">
        <f t="shared" si="1"/>
        <v>No</v>
      </c>
      <c r="J5" s="2" t="str">
        <f t="shared" si="2"/>
        <v>Low</v>
      </c>
    </row>
    <row r="6" spans="2:10">
      <c r="B6" s="2" t="s">
        <v>18</v>
      </c>
      <c r="C6" s="1" t="s">
        <v>22</v>
      </c>
      <c r="D6" s="2" t="s">
        <v>8</v>
      </c>
      <c r="E6" s="3" t="s">
        <v>39</v>
      </c>
      <c r="F6" s="2" t="s">
        <v>10</v>
      </c>
      <c r="G6" s="1" t="s">
        <v>70</v>
      </c>
      <c r="H6" s="2">
        <f t="shared" si="0"/>
        <v>3</v>
      </c>
      <c r="I6" s="2" t="str">
        <f t="shared" si="1"/>
        <v>Yes</v>
      </c>
      <c r="J6" s="2" t="str">
        <f t="shared" si="2"/>
        <v>High</v>
      </c>
    </row>
    <row r="7" spans="2:10">
      <c r="B7" s="2" t="s">
        <v>18</v>
      </c>
      <c r="C7" s="1" t="s">
        <v>22</v>
      </c>
      <c r="D7" s="2" t="s">
        <v>8</v>
      </c>
      <c r="E7" s="3" t="s">
        <v>40</v>
      </c>
      <c r="F7" s="2" t="s">
        <v>23</v>
      </c>
      <c r="G7" s="1" t="s">
        <v>70</v>
      </c>
      <c r="H7" s="2">
        <f t="shared" si="0"/>
        <v>9</v>
      </c>
      <c r="I7" s="2" t="str">
        <f t="shared" si="1"/>
        <v>No</v>
      </c>
      <c r="J7" s="2" t="str">
        <f t="shared" si="2"/>
        <v>Low</v>
      </c>
    </row>
    <row r="8" spans="2:10">
      <c r="B8" s="2" t="s">
        <v>18</v>
      </c>
      <c r="C8" s="1" t="s">
        <v>22</v>
      </c>
      <c r="D8" s="2" t="s">
        <v>8</v>
      </c>
      <c r="E8" s="3" t="s">
        <v>24</v>
      </c>
      <c r="F8" s="2" t="s">
        <v>10</v>
      </c>
      <c r="G8" s="1" t="s">
        <v>62</v>
      </c>
      <c r="H8" s="2">
        <f t="shared" si="0"/>
        <v>13</v>
      </c>
      <c r="I8" s="2" t="str">
        <f t="shared" si="1"/>
        <v>No</v>
      </c>
      <c r="J8" s="2" t="str">
        <f t="shared" si="2"/>
        <v>Low</v>
      </c>
    </row>
    <row r="9" spans="2:10">
      <c r="B9" s="2" t="s">
        <v>18</v>
      </c>
      <c r="C9" s="1" t="s">
        <v>25</v>
      </c>
      <c r="D9" s="2" t="s">
        <v>8</v>
      </c>
      <c r="E9" s="3" t="s">
        <v>41</v>
      </c>
      <c r="F9" s="2" t="s">
        <v>21</v>
      </c>
      <c r="G9" s="1" t="s">
        <v>64</v>
      </c>
      <c r="H9" s="2">
        <f t="shared" si="0"/>
        <v>9</v>
      </c>
      <c r="I9" s="2" t="str">
        <f t="shared" si="1"/>
        <v>No</v>
      </c>
      <c r="J9" s="2" t="str">
        <f t="shared" si="2"/>
        <v>Low</v>
      </c>
    </row>
    <row r="10" spans="2:10">
      <c r="B10" s="2" t="s">
        <v>18</v>
      </c>
      <c r="C10" s="1" t="s">
        <v>26</v>
      </c>
      <c r="D10" s="2" t="s">
        <v>8</v>
      </c>
      <c r="E10" s="3" t="s">
        <v>27</v>
      </c>
      <c r="F10" s="2" t="s">
        <v>10</v>
      </c>
      <c r="G10" s="1" t="s">
        <v>62</v>
      </c>
      <c r="H10" s="2">
        <f t="shared" si="0"/>
        <v>13</v>
      </c>
      <c r="I10" s="2" t="str">
        <f t="shared" si="1"/>
        <v>No</v>
      </c>
      <c r="J10" s="2" t="str">
        <f t="shared" si="2"/>
        <v>Low</v>
      </c>
    </row>
    <row r="11" spans="2:10" ht="29">
      <c r="B11" s="2" t="s">
        <v>18</v>
      </c>
      <c r="C11" s="1" t="s">
        <v>28</v>
      </c>
      <c r="D11" s="2" t="s">
        <v>8</v>
      </c>
      <c r="E11" s="3" t="s">
        <v>42</v>
      </c>
      <c r="F11" s="2" t="s">
        <v>23</v>
      </c>
      <c r="G11" s="1" t="s">
        <v>70</v>
      </c>
      <c r="H11" s="2">
        <f t="shared" si="0"/>
        <v>4</v>
      </c>
      <c r="I11" s="2" t="str">
        <f t="shared" si="1"/>
        <v>No</v>
      </c>
      <c r="J11" s="2" t="str">
        <f t="shared" si="2"/>
        <v>Low</v>
      </c>
    </row>
    <row r="12" spans="2:10">
      <c r="B12" s="2" t="s">
        <v>18</v>
      </c>
      <c r="C12" s="1" t="s">
        <v>29</v>
      </c>
      <c r="D12" s="2" t="s">
        <v>8</v>
      </c>
      <c r="E12" s="3" t="s">
        <v>30</v>
      </c>
      <c r="F12" s="2" t="s">
        <v>10</v>
      </c>
      <c r="G12" s="1" t="s">
        <v>62</v>
      </c>
      <c r="H12" s="2">
        <f t="shared" si="0"/>
        <v>10</v>
      </c>
      <c r="I12" s="2" t="str">
        <f t="shared" si="1"/>
        <v>Yes</v>
      </c>
      <c r="J12" s="2" t="str">
        <f t="shared" si="2"/>
        <v>High</v>
      </c>
    </row>
    <row r="13" spans="2:10">
      <c r="B13" s="2" t="s">
        <v>18</v>
      </c>
      <c r="C13" s="1" t="s">
        <v>31</v>
      </c>
      <c r="D13" s="2" t="s">
        <v>8</v>
      </c>
      <c r="E13" s="3" t="s">
        <v>43</v>
      </c>
      <c r="F13" s="2" t="s">
        <v>10</v>
      </c>
      <c r="G13" s="1" t="s">
        <v>62</v>
      </c>
      <c r="H13" s="2">
        <f t="shared" si="0"/>
        <v>7</v>
      </c>
      <c r="I13" s="2" t="str">
        <f t="shared" si="1"/>
        <v>No</v>
      </c>
      <c r="J13" s="2" t="str">
        <f t="shared" si="2"/>
        <v>Low</v>
      </c>
    </row>
    <row r="14" spans="2:10">
      <c r="B14" s="2" t="s">
        <v>12</v>
      </c>
      <c r="C14" s="1" t="s">
        <v>32</v>
      </c>
      <c r="D14" s="2" t="s">
        <v>8</v>
      </c>
      <c r="E14" s="6" t="s">
        <v>44</v>
      </c>
      <c r="F14" s="1" t="s">
        <v>15</v>
      </c>
      <c r="G14" s="2" t="s">
        <v>295</v>
      </c>
      <c r="H14" s="2">
        <f t="shared" si="0"/>
        <v>9</v>
      </c>
      <c r="I14" s="2" t="str">
        <f t="shared" si="1"/>
        <v>No</v>
      </c>
      <c r="J14" s="2" t="str">
        <f t="shared" si="2"/>
        <v>Low</v>
      </c>
    </row>
    <row r="15" spans="2:10">
      <c r="B15" s="2" t="s">
        <v>12</v>
      </c>
      <c r="C15" s="1" t="s">
        <v>33</v>
      </c>
      <c r="D15" s="2" t="s">
        <v>8</v>
      </c>
      <c r="E15" s="6" t="s">
        <v>45</v>
      </c>
      <c r="F15" s="1" t="s">
        <v>10</v>
      </c>
      <c r="G15" s="1" t="s">
        <v>62</v>
      </c>
      <c r="H15" s="2">
        <f t="shared" si="0"/>
        <v>4</v>
      </c>
      <c r="I15" s="2" t="str">
        <f t="shared" si="1"/>
        <v>Yes</v>
      </c>
      <c r="J15" s="2" t="str">
        <f t="shared" si="2"/>
        <v>High</v>
      </c>
    </row>
    <row r="16" spans="2:10">
      <c r="B16" s="2" t="s">
        <v>12</v>
      </c>
      <c r="C16" s="1" t="s">
        <v>34</v>
      </c>
      <c r="D16" s="2" t="s">
        <v>8</v>
      </c>
      <c r="E16" s="6" t="s">
        <v>46</v>
      </c>
      <c r="F16" s="1" t="s">
        <v>10</v>
      </c>
      <c r="G16" s="1" t="s">
        <v>56</v>
      </c>
      <c r="H16" s="2">
        <f t="shared" si="0"/>
        <v>3</v>
      </c>
      <c r="I16" s="2" t="str">
        <f t="shared" si="1"/>
        <v>No</v>
      </c>
      <c r="J16" s="2" t="str">
        <f t="shared" si="2"/>
        <v>Low</v>
      </c>
    </row>
    <row r="17" spans="2:10">
      <c r="B17" s="2" t="s">
        <v>12</v>
      </c>
      <c r="C17" s="1" t="s">
        <v>35</v>
      </c>
      <c r="D17" s="2" t="s">
        <v>8</v>
      </c>
      <c r="E17" s="6" t="s">
        <v>47</v>
      </c>
      <c r="F17" s="1" t="s">
        <v>10</v>
      </c>
      <c r="G17" s="1" t="s">
        <v>62</v>
      </c>
      <c r="H17" s="2">
        <f t="shared" si="0"/>
        <v>8</v>
      </c>
      <c r="I17" s="2" t="str">
        <f t="shared" si="1"/>
        <v>No</v>
      </c>
      <c r="J17" s="2" t="str">
        <f t="shared" si="2"/>
        <v>Low</v>
      </c>
    </row>
    <row r="18" spans="2:10">
      <c r="B18" s="2" t="s">
        <v>18</v>
      </c>
      <c r="C18" s="1" t="s">
        <v>36</v>
      </c>
      <c r="D18" s="2" t="s">
        <v>8</v>
      </c>
      <c r="E18" s="6" t="s">
        <v>48</v>
      </c>
      <c r="F18" s="1" t="s">
        <v>10</v>
      </c>
      <c r="G18" s="1" t="s">
        <v>70</v>
      </c>
      <c r="H18" s="2">
        <f t="shared" si="0"/>
        <v>8</v>
      </c>
      <c r="I18" s="2" t="str">
        <f t="shared" si="1"/>
        <v>No</v>
      </c>
      <c r="J18" s="2" t="str">
        <f t="shared" si="2"/>
        <v>Low</v>
      </c>
    </row>
    <row r="19" spans="2:10">
      <c r="B19" s="2" t="s">
        <v>18</v>
      </c>
      <c r="C19" s="1" t="s">
        <v>49</v>
      </c>
      <c r="D19" s="2" t="s">
        <v>8</v>
      </c>
      <c r="E19" s="6" t="s">
        <v>50</v>
      </c>
      <c r="F19" s="1" t="s">
        <v>10</v>
      </c>
      <c r="G19" s="1" t="s">
        <v>56</v>
      </c>
      <c r="H19" s="2">
        <f t="shared" si="0"/>
        <v>6</v>
      </c>
      <c r="I19" s="2" t="str">
        <f t="shared" si="1"/>
        <v>Yes</v>
      </c>
      <c r="J19" s="2" t="str">
        <f t="shared" si="2"/>
        <v>High</v>
      </c>
    </row>
    <row r="20" spans="2:10">
      <c r="B20" s="2" t="s">
        <v>18</v>
      </c>
      <c r="C20" s="1" t="s">
        <v>37</v>
      </c>
      <c r="D20" s="2" t="s">
        <v>8</v>
      </c>
      <c r="E20" s="6" t="s">
        <v>51</v>
      </c>
      <c r="F20" s="1" t="s">
        <v>10</v>
      </c>
      <c r="G20" s="1" t="s">
        <v>56</v>
      </c>
      <c r="H20" s="2">
        <f t="shared" si="0"/>
        <v>7</v>
      </c>
      <c r="I20" s="2" t="str">
        <f t="shared" si="1"/>
        <v>Yes</v>
      </c>
      <c r="J20" s="2" t="str">
        <f t="shared" si="2"/>
        <v>High</v>
      </c>
    </row>
    <row r="21" spans="2:10">
      <c r="B21" s="2" t="s">
        <v>18</v>
      </c>
      <c r="C21" s="1" t="s">
        <v>52</v>
      </c>
      <c r="D21" s="2" t="s">
        <v>8</v>
      </c>
      <c r="E21" s="6" t="s">
        <v>53</v>
      </c>
      <c r="F21" s="1" t="s">
        <v>10</v>
      </c>
      <c r="G21" s="1" t="s">
        <v>70</v>
      </c>
      <c r="H21" s="2">
        <f t="shared" si="0"/>
        <v>4</v>
      </c>
      <c r="I21" s="2" t="str">
        <f t="shared" si="1"/>
        <v>No</v>
      </c>
      <c r="J21" s="2" t="str">
        <f t="shared" si="2"/>
        <v>Low</v>
      </c>
    </row>
    <row r="22" spans="2:10">
      <c r="B22" s="1" t="s">
        <v>12</v>
      </c>
      <c r="C22" s="1" t="s">
        <v>54</v>
      </c>
      <c r="D22" s="1" t="s">
        <v>8</v>
      </c>
      <c r="E22" s="8" t="s">
        <v>55</v>
      </c>
      <c r="F22" s="1" t="s">
        <v>10</v>
      </c>
      <c r="G22" s="1" t="s">
        <v>56</v>
      </c>
      <c r="H22" s="2">
        <f t="shared" si="0"/>
        <v>13</v>
      </c>
      <c r="I22" s="2" t="str">
        <f t="shared" si="1"/>
        <v>No</v>
      </c>
      <c r="J22" s="2" t="str">
        <f t="shared" si="2"/>
        <v>Low</v>
      </c>
    </row>
    <row r="23" spans="2:10">
      <c r="B23" s="1" t="s">
        <v>12</v>
      </c>
      <c r="C23" s="1" t="s">
        <v>54</v>
      </c>
      <c r="D23" s="1" t="s">
        <v>8</v>
      </c>
      <c r="E23" s="8" t="s">
        <v>57</v>
      </c>
      <c r="F23" s="1" t="s">
        <v>21</v>
      </c>
      <c r="G23" s="2" t="s">
        <v>295</v>
      </c>
      <c r="H23" s="2">
        <f t="shared" si="0"/>
        <v>5</v>
      </c>
      <c r="I23" s="2" t="str">
        <f t="shared" si="1"/>
        <v>No</v>
      </c>
      <c r="J23" s="2" t="str">
        <f t="shared" si="2"/>
        <v>Low</v>
      </c>
    </row>
    <row r="24" spans="2:10">
      <c r="B24" s="1" t="s">
        <v>12</v>
      </c>
      <c r="C24" s="1" t="s">
        <v>54</v>
      </c>
      <c r="D24" s="1" t="s">
        <v>8</v>
      </c>
      <c r="E24" s="8" t="s">
        <v>58</v>
      </c>
      <c r="F24" s="1" t="s">
        <v>23</v>
      </c>
      <c r="G24" s="1" t="s">
        <v>59</v>
      </c>
      <c r="H24" s="2">
        <f t="shared" si="0"/>
        <v>12</v>
      </c>
      <c r="I24" s="2" t="str">
        <f t="shared" si="1"/>
        <v>No</v>
      </c>
      <c r="J24" s="2" t="str">
        <f t="shared" si="2"/>
        <v>Low</v>
      </c>
    </row>
    <row r="25" spans="2:10">
      <c r="B25" s="1" t="s">
        <v>12</v>
      </c>
      <c r="C25" s="1" t="s">
        <v>60</v>
      </c>
      <c r="D25" s="1" t="s">
        <v>8</v>
      </c>
      <c r="E25" s="8" t="s">
        <v>61</v>
      </c>
      <c r="F25" s="1" t="s">
        <v>10</v>
      </c>
      <c r="G25" s="1" t="s">
        <v>62</v>
      </c>
      <c r="H25" s="2">
        <f t="shared" si="0"/>
        <v>10</v>
      </c>
      <c r="I25" s="2" t="str">
        <f t="shared" si="1"/>
        <v>Yes</v>
      </c>
      <c r="J25" s="2" t="str">
        <f t="shared" si="2"/>
        <v>High</v>
      </c>
    </row>
    <row r="26" spans="2:10">
      <c r="B26" s="1" t="s">
        <v>12</v>
      </c>
      <c r="C26" s="1" t="s">
        <v>60</v>
      </c>
      <c r="D26" s="1" t="s">
        <v>8</v>
      </c>
      <c r="E26" s="8" t="s">
        <v>63</v>
      </c>
      <c r="F26" s="1" t="s">
        <v>21</v>
      </c>
      <c r="G26" s="1" t="s">
        <v>64</v>
      </c>
      <c r="H26" s="2">
        <f t="shared" si="0"/>
        <v>11</v>
      </c>
      <c r="I26" s="2" t="str">
        <f t="shared" si="1"/>
        <v>Yes</v>
      </c>
      <c r="J26" s="2" t="str">
        <f t="shared" si="2"/>
        <v>High</v>
      </c>
    </row>
    <row r="27" spans="2:10">
      <c r="B27" s="1" t="s">
        <v>12</v>
      </c>
      <c r="C27" s="1" t="s">
        <v>65</v>
      </c>
      <c r="D27" s="1" t="s">
        <v>8</v>
      </c>
      <c r="E27" s="8" t="s">
        <v>66</v>
      </c>
      <c r="F27" s="1" t="s">
        <v>10</v>
      </c>
      <c r="G27" s="1" t="s">
        <v>56</v>
      </c>
      <c r="H27" s="2">
        <f t="shared" si="0"/>
        <v>10</v>
      </c>
      <c r="I27" s="2" t="str">
        <f t="shared" si="1"/>
        <v>No</v>
      </c>
      <c r="J27" s="2" t="str">
        <f t="shared" si="2"/>
        <v>Low</v>
      </c>
    </row>
    <row r="28" spans="2:10">
      <c r="B28" s="1" t="s">
        <v>12</v>
      </c>
      <c r="C28" s="1" t="s">
        <v>67</v>
      </c>
      <c r="D28" s="1" t="s">
        <v>8</v>
      </c>
      <c r="E28" s="8" t="s">
        <v>68</v>
      </c>
      <c r="F28" s="1" t="s">
        <v>21</v>
      </c>
      <c r="G28" s="1" t="s">
        <v>64</v>
      </c>
      <c r="H28" s="2">
        <f t="shared" si="0"/>
        <v>11</v>
      </c>
      <c r="I28" s="2" t="str">
        <f t="shared" si="1"/>
        <v>No</v>
      </c>
      <c r="J28" s="2" t="str">
        <f t="shared" si="2"/>
        <v>Low</v>
      </c>
    </row>
    <row r="29" spans="2:10">
      <c r="B29" s="1" t="s">
        <v>12</v>
      </c>
      <c r="C29" s="1" t="s">
        <v>31</v>
      </c>
      <c r="D29" s="1" t="s">
        <v>8</v>
      </c>
      <c r="E29" s="8" t="s">
        <v>69</v>
      </c>
      <c r="F29" s="1" t="s">
        <v>10</v>
      </c>
      <c r="G29" s="1" t="s">
        <v>70</v>
      </c>
      <c r="H29" s="2">
        <f t="shared" si="0"/>
        <v>7</v>
      </c>
      <c r="I29" s="2" t="str">
        <f t="shared" si="1"/>
        <v>No</v>
      </c>
      <c r="J29" s="2" t="str">
        <f t="shared" si="2"/>
        <v>Low</v>
      </c>
    </row>
    <row r="30" spans="2:10">
      <c r="B30" s="1" t="s">
        <v>12</v>
      </c>
      <c r="C30" s="1" t="s">
        <v>31</v>
      </c>
      <c r="D30" s="1" t="s">
        <v>8</v>
      </c>
      <c r="E30" s="8" t="s">
        <v>71</v>
      </c>
      <c r="F30" s="1" t="s">
        <v>10</v>
      </c>
      <c r="G30" s="1" t="s">
        <v>62</v>
      </c>
      <c r="H30" s="2">
        <f t="shared" si="0"/>
        <v>7</v>
      </c>
      <c r="I30" s="2" t="str">
        <f t="shared" si="1"/>
        <v>No</v>
      </c>
      <c r="J30" s="2" t="str">
        <f t="shared" si="2"/>
        <v>Low</v>
      </c>
    </row>
    <row r="31" spans="2:10">
      <c r="B31" s="1" t="s">
        <v>12</v>
      </c>
      <c r="C31" s="1" t="s">
        <v>72</v>
      </c>
      <c r="D31" s="1" t="s">
        <v>8</v>
      </c>
      <c r="E31" s="8" t="s">
        <v>73</v>
      </c>
      <c r="F31" s="1" t="s">
        <v>21</v>
      </c>
      <c r="G31" s="1" t="s">
        <v>56</v>
      </c>
      <c r="H31" s="2">
        <f t="shared" si="0"/>
        <v>8</v>
      </c>
      <c r="I31" s="2" t="str">
        <f t="shared" si="1"/>
        <v>Yes</v>
      </c>
      <c r="J31" s="2" t="str">
        <f t="shared" si="2"/>
        <v>High</v>
      </c>
    </row>
    <row r="32" spans="2:10">
      <c r="B32" s="1" t="s">
        <v>12</v>
      </c>
      <c r="C32" s="1" t="s">
        <v>74</v>
      </c>
      <c r="D32" s="1" t="s">
        <v>8</v>
      </c>
      <c r="E32" s="8" t="s">
        <v>75</v>
      </c>
      <c r="F32" s="1" t="s">
        <v>21</v>
      </c>
      <c r="G32" s="2" t="s">
        <v>295</v>
      </c>
      <c r="H32" s="2">
        <f t="shared" si="0"/>
        <v>1</v>
      </c>
      <c r="I32" s="2" t="str">
        <f t="shared" si="1"/>
        <v>No</v>
      </c>
      <c r="J32" s="2" t="str">
        <f t="shared" si="2"/>
        <v>Low</v>
      </c>
    </row>
    <row r="33" spans="2:10">
      <c r="B33" s="1" t="s">
        <v>12</v>
      </c>
      <c r="C33" s="1" t="s">
        <v>74</v>
      </c>
      <c r="D33" s="1" t="s">
        <v>8</v>
      </c>
      <c r="E33" s="8" t="s">
        <v>76</v>
      </c>
      <c r="F33" s="1" t="s">
        <v>21</v>
      </c>
      <c r="G33" s="2" t="s">
        <v>295</v>
      </c>
      <c r="H33" s="2">
        <f t="shared" si="0"/>
        <v>1</v>
      </c>
      <c r="I33" s="2" t="str">
        <f t="shared" si="1"/>
        <v>No</v>
      </c>
      <c r="J33" s="2" t="str">
        <f t="shared" si="2"/>
        <v>Low</v>
      </c>
    </row>
    <row r="34" spans="2:10">
      <c r="B34" s="1" t="s">
        <v>12</v>
      </c>
      <c r="C34" s="1" t="s">
        <v>74</v>
      </c>
      <c r="D34" s="1" t="s">
        <v>8</v>
      </c>
      <c r="E34" s="8" t="s">
        <v>77</v>
      </c>
      <c r="F34" s="1" t="s">
        <v>21</v>
      </c>
      <c r="G34" s="1" t="s">
        <v>64</v>
      </c>
      <c r="H34" s="2">
        <f t="shared" si="0"/>
        <v>2</v>
      </c>
      <c r="I34" s="2" t="str">
        <f t="shared" si="1"/>
        <v>No</v>
      </c>
      <c r="J34" s="2" t="str">
        <f t="shared" si="2"/>
        <v>Low</v>
      </c>
    </row>
    <row r="35" spans="2:10">
      <c r="B35" s="1" t="s">
        <v>18</v>
      </c>
      <c r="C35" s="1" t="s">
        <v>78</v>
      </c>
      <c r="D35" s="1" t="s">
        <v>8</v>
      </c>
      <c r="E35" s="8" t="s">
        <v>79</v>
      </c>
      <c r="F35" s="1" t="s">
        <v>10</v>
      </c>
      <c r="G35" s="1" t="s">
        <v>62</v>
      </c>
      <c r="H35" s="2">
        <f t="shared" si="0"/>
        <v>10</v>
      </c>
      <c r="I35" s="2" t="str">
        <f t="shared" si="1"/>
        <v>No</v>
      </c>
      <c r="J35" s="2" t="str">
        <f t="shared" si="2"/>
        <v>Low</v>
      </c>
    </row>
    <row r="36" spans="2:10">
      <c r="B36" s="1" t="s">
        <v>18</v>
      </c>
      <c r="C36" s="1" t="s">
        <v>78</v>
      </c>
      <c r="D36" s="1" t="s">
        <v>8</v>
      </c>
      <c r="E36" s="8" t="s">
        <v>80</v>
      </c>
      <c r="F36" s="1" t="s">
        <v>23</v>
      </c>
      <c r="G36" s="1" t="s">
        <v>59</v>
      </c>
      <c r="H36" s="2">
        <f t="shared" si="0"/>
        <v>9</v>
      </c>
      <c r="I36" s="2" t="str">
        <f t="shared" si="1"/>
        <v>Yes</v>
      </c>
      <c r="J36" s="2" t="str">
        <f t="shared" si="2"/>
        <v>High</v>
      </c>
    </row>
    <row r="37" spans="2:10">
      <c r="B37" s="1" t="s">
        <v>18</v>
      </c>
      <c r="C37" s="1" t="s">
        <v>81</v>
      </c>
      <c r="D37" s="1" t="s">
        <v>8</v>
      </c>
      <c r="E37" s="8" t="s">
        <v>82</v>
      </c>
      <c r="F37" s="1" t="s">
        <v>21</v>
      </c>
      <c r="G37" s="2" t="s">
        <v>295</v>
      </c>
      <c r="H37" s="2">
        <f t="shared" si="0"/>
        <v>5</v>
      </c>
      <c r="I37" s="2" t="str">
        <f t="shared" si="1"/>
        <v>No</v>
      </c>
      <c r="J37" s="2" t="str">
        <f t="shared" si="2"/>
        <v>Low</v>
      </c>
    </row>
    <row r="38" spans="2:10">
      <c r="B38" s="1" t="s">
        <v>18</v>
      </c>
      <c r="C38" s="1" t="s">
        <v>83</v>
      </c>
      <c r="D38" s="1" t="s">
        <v>8</v>
      </c>
      <c r="E38" s="8" t="s">
        <v>84</v>
      </c>
      <c r="F38" s="1" t="s">
        <v>21</v>
      </c>
      <c r="G38" s="1" t="s">
        <v>56</v>
      </c>
      <c r="H38" s="2">
        <f t="shared" si="0"/>
        <v>8</v>
      </c>
      <c r="I38" s="2" t="str">
        <f t="shared" si="1"/>
        <v>No</v>
      </c>
      <c r="J38" s="2" t="str">
        <f t="shared" si="2"/>
        <v>Low</v>
      </c>
    </row>
    <row r="39" spans="2:10">
      <c r="B39" s="1" t="s">
        <v>18</v>
      </c>
      <c r="C39" s="1" t="s">
        <v>85</v>
      </c>
      <c r="D39" s="1" t="s">
        <v>8</v>
      </c>
      <c r="E39" s="8" t="s">
        <v>86</v>
      </c>
      <c r="F39" s="1" t="s">
        <v>10</v>
      </c>
      <c r="G39" s="1" t="s">
        <v>62</v>
      </c>
      <c r="H39" s="2">
        <f t="shared" si="0"/>
        <v>11</v>
      </c>
      <c r="I39" s="2" t="str">
        <f t="shared" si="1"/>
        <v>Yes</v>
      </c>
      <c r="J39" s="2" t="str">
        <f t="shared" si="2"/>
        <v>High</v>
      </c>
    </row>
    <row r="40" spans="2:10">
      <c r="B40" s="1" t="s">
        <v>18</v>
      </c>
      <c r="C40" s="1" t="s">
        <v>87</v>
      </c>
      <c r="D40" s="1" t="s">
        <v>8</v>
      </c>
      <c r="E40" s="8" t="s">
        <v>88</v>
      </c>
      <c r="F40" s="1" t="s">
        <v>15</v>
      </c>
      <c r="G40" s="1" t="s">
        <v>62</v>
      </c>
      <c r="H40" s="2">
        <f t="shared" si="0"/>
        <v>13</v>
      </c>
      <c r="I40" s="2" t="str">
        <f t="shared" si="1"/>
        <v>Yes</v>
      </c>
      <c r="J40" s="2" t="str">
        <f t="shared" si="2"/>
        <v>High</v>
      </c>
    </row>
    <row r="41" spans="2:10">
      <c r="B41" s="1" t="s">
        <v>18</v>
      </c>
      <c r="C41" s="1" t="s">
        <v>89</v>
      </c>
      <c r="D41" s="1" t="s">
        <v>8</v>
      </c>
      <c r="E41" s="8" t="s">
        <v>90</v>
      </c>
      <c r="F41" s="1" t="s">
        <v>10</v>
      </c>
      <c r="G41" s="1" t="s">
        <v>70</v>
      </c>
      <c r="H41" s="2">
        <f t="shared" si="0"/>
        <v>7</v>
      </c>
      <c r="I41" s="2" t="str">
        <f t="shared" si="1"/>
        <v>No</v>
      </c>
      <c r="J41" s="2" t="str">
        <f t="shared" si="2"/>
        <v>Low</v>
      </c>
    </row>
    <row r="42" spans="2:10">
      <c r="B42" s="1" t="s">
        <v>18</v>
      </c>
      <c r="C42" s="1" t="s">
        <v>91</v>
      </c>
      <c r="D42" s="1" t="s">
        <v>8</v>
      </c>
      <c r="E42" s="9" t="s">
        <v>92</v>
      </c>
      <c r="F42" s="1" t="s">
        <v>21</v>
      </c>
      <c r="G42" s="1" t="s">
        <v>64</v>
      </c>
      <c r="H42" s="2">
        <f t="shared" si="0"/>
        <v>13</v>
      </c>
      <c r="I42" s="2" t="str">
        <f t="shared" si="1"/>
        <v>No</v>
      </c>
      <c r="J42" s="2" t="str">
        <f t="shared" si="2"/>
        <v>Low</v>
      </c>
    </row>
    <row r="43" spans="2:10">
      <c r="B43" s="1" t="s">
        <v>18</v>
      </c>
      <c r="C43" s="1" t="s">
        <v>91</v>
      </c>
      <c r="D43" s="1" t="s">
        <v>8</v>
      </c>
      <c r="E43" s="9" t="s">
        <v>93</v>
      </c>
      <c r="F43" s="1" t="s">
        <v>21</v>
      </c>
      <c r="G43" s="1" t="s">
        <v>62</v>
      </c>
      <c r="H43" s="2">
        <f t="shared" si="0"/>
        <v>12</v>
      </c>
      <c r="I43" s="2" t="str">
        <f t="shared" si="1"/>
        <v>No</v>
      </c>
      <c r="J43" s="2" t="str">
        <f t="shared" si="2"/>
        <v>Low</v>
      </c>
    </row>
    <row r="44" spans="2:10" ht="29">
      <c r="B44" s="1" t="s">
        <v>18</v>
      </c>
      <c r="C44" s="1" t="s">
        <v>94</v>
      </c>
      <c r="D44" s="1" t="s">
        <v>8</v>
      </c>
      <c r="E44" s="9" t="s">
        <v>95</v>
      </c>
      <c r="F44" s="1" t="s">
        <v>21</v>
      </c>
      <c r="G44" s="2" t="s">
        <v>295</v>
      </c>
      <c r="H44" s="2">
        <f t="shared" si="0"/>
        <v>7</v>
      </c>
      <c r="I44" s="2" t="str">
        <f t="shared" si="1"/>
        <v>No</v>
      </c>
      <c r="J44" s="2" t="str">
        <f t="shared" si="2"/>
        <v>Low</v>
      </c>
    </row>
    <row r="45" spans="2:10">
      <c r="B45" s="1" t="s">
        <v>18</v>
      </c>
      <c r="C45" s="1" t="s">
        <v>96</v>
      </c>
      <c r="D45" s="1" t="s">
        <v>8</v>
      </c>
      <c r="E45" s="9" t="s">
        <v>97</v>
      </c>
      <c r="F45" s="1" t="s">
        <v>23</v>
      </c>
      <c r="G45" s="2" t="s">
        <v>295</v>
      </c>
      <c r="H45" s="2">
        <f t="shared" si="0"/>
        <v>8</v>
      </c>
      <c r="I45" s="2" t="str">
        <f t="shared" si="1"/>
        <v>No</v>
      </c>
      <c r="J45" s="2" t="str">
        <f t="shared" si="2"/>
        <v>Low</v>
      </c>
    </row>
    <row r="46" spans="2:10">
      <c r="B46" s="1" t="s">
        <v>18</v>
      </c>
      <c r="C46" s="1" t="s">
        <v>98</v>
      </c>
      <c r="D46" s="1" t="s">
        <v>8</v>
      </c>
      <c r="E46" s="9" t="s">
        <v>99</v>
      </c>
      <c r="F46" s="1" t="s">
        <v>10</v>
      </c>
      <c r="G46" s="1" t="s">
        <v>70</v>
      </c>
      <c r="H46" s="2">
        <f t="shared" si="0"/>
        <v>9</v>
      </c>
      <c r="I46" s="2" t="str">
        <f t="shared" si="1"/>
        <v>Yes</v>
      </c>
      <c r="J46" s="2" t="str">
        <f t="shared" si="2"/>
        <v>High</v>
      </c>
    </row>
    <row r="47" spans="2:10" ht="29">
      <c r="B47" s="1" t="s">
        <v>18</v>
      </c>
      <c r="C47" s="1" t="s">
        <v>100</v>
      </c>
      <c r="D47" s="1" t="s">
        <v>8</v>
      </c>
      <c r="E47" s="9" t="s">
        <v>101</v>
      </c>
      <c r="F47" s="1" t="s">
        <v>10</v>
      </c>
      <c r="G47" s="1" t="s">
        <v>62</v>
      </c>
      <c r="H47" s="2">
        <f t="shared" si="0"/>
        <v>18</v>
      </c>
      <c r="I47" s="2" t="str">
        <f t="shared" si="1"/>
        <v>Yes</v>
      </c>
      <c r="J47" s="2" t="str">
        <f t="shared" si="2"/>
        <v>High</v>
      </c>
    </row>
    <row r="48" spans="2:10">
      <c r="B48" s="1" t="s">
        <v>18</v>
      </c>
      <c r="C48" s="1" t="s">
        <v>102</v>
      </c>
      <c r="D48" s="1" t="s">
        <v>8</v>
      </c>
      <c r="E48" s="9" t="s">
        <v>103</v>
      </c>
      <c r="F48" s="1" t="s">
        <v>10</v>
      </c>
      <c r="G48" s="1" t="s">
        <v>70</v>
      </c>
      <c r="H48" s="2">
        <f t="shared" si="0"/>
        <v>11</v>
      </c>
      <c r="I48" s="2" t="str">
        <f t="shared" si="1"/>
        <v>Yes</v>
      </c>
      <c r="J48" s="2" t="str">
        <f t="shared" si="2"/>
        <v>High</v>
      </c>
    </row>
    <row r="49" spans="2:10">
      <c r="B49" s="1" t="s">
        <v>18</v>
      </c>
      <c r="C49" s="1" t="s">
        <v>104</v>
      </c>
      <c r="D49" s="1" t="s">
        <v>8</v>
      </c>
      <c r="E49" s="9" t="s">
        <v>105</v>
      </c>
      <c r="F49" s="1" t="s">
        <v>23</v>
      </c>
      <c r="G49" s="1" t="s">
        <v>70</v>
      </c>
      <c r="H49" s="2">
        <f t="shared" si="0"/>
        <v>11</v>
      </c>
      <c r="I49" s="2" t="str">
        <f t="shared" si="1"/>
        <v>No</v>
      </c>
      <c r="J49" s="2" t="str">
        <f t="shared" si="2"/>
        <v>Low</v>
      </c>
    </row>
    <row r="50" spans="2:10">
      <c r="B50" s="1" t="s">
        <v>18</v>
      </c>
      <c r="C50" s="1" t="s">
        <v>106</v>
      </c>
      <c r="D50" s="1" t="s">
        <v>8</v>
      </c>
      <c r="E50" s="9" t="s">
        <v>107</v>
      </c>
      <c r="F50" s="1" t="s">
        <v>10</v>
      </c>
      <c r="G50" s="1" t="s">
        <v>70</v>
      </c>
      <c r="H50" s="2">
        <f t="shared" si="0"/>
        <v>8</v>
      </c>
      <c r="I50" s="2" t="str">
        <f t="shared" si="1"/>
        <v>No</v>
      </c>
      <c r="J50" s="2" t="str">
        <f t="shared" si="2"/>
        <v>Low</v>
      </c>
    </row>
    <row r="51" spans="2:10">
      <c r="B51" s="1" t="s">
        <v>12</v>
      </c>
      <c r="C51" s="1" t="s">
        <v>108</v>
      </c>
      <c r="D51" s="1" t="s">
        <v>8</v>
      </c>
      <c r="E51" s="9" t="s">
        <v>109</v>
      </c>
      <c r="F51" s="1" t="s">
        <v>10</v>
      </c>
      <c r="G51" s="1" t="s">
        <v>62</v>
      </c>
      <c r="H51" s="2">
        <f t="shared" si="0"/>
        <v>7</v>
      </c>
      <c r="I51" s="2" t="str">
        <f t="shared" si="1"/>
        <v>Yes</v>
      </c>
      <c r="J51" s="2" t="str">
        <f t="shared" si="2"/>
        <v>High</v>
      </c>
    </row>
    <row r="52" spans="2:10">
      <c r="B52" s="1" t="s">
        <v>12</v>
      </c>
      <c r="C52" s="1" t="s">
        <v>110</v>
      </c>
      <c r="D52" s="1" t="s">
        <v>8</v>
      </c>
      <c r="E52" s="9" t="s">
        <v>111</v>
      </c>
      <c r="F52" s="1" t="s">
        <v>23</v>
      </c>
      <c r="G52" s="1" t="s">
        <v>59</v>
      </c>
      <c r="H52" s="2">
        <f t="shared" si="0"/>
        <v>4</v>
      </c>
      <c r="I52" s="2" t="str">
        <f t="shared" si="1"/>
        <v>No</v>
      </c>
      <c r="J52" s="2" t="str">
        <f t="shared" si="2"/>
        <v>Low</v>
      </c>
    </row>
    <row r="53" spans="2:10">
      <c r="B53" s="1" t="s">
        <v>12</v>
      </c>
      <c r="C53" s="1" t="s">
        <v>112</v>
      </c>
      <c r="D53" s="1" t="s">
        <v>8</v>
      </c>
      <c r="E53" s="9" t="s">
        <v>113</v>
      </c>
      <c r="F53" s="1" t="s">
        <v>10</v>
      </c>
      <c r="G53" s="1" t="s">
        <v>62</v>
      </c>
      <c r="H53" s="2">
        <f t="shared" si="0"/>
        <v>11</v>
      </c>
      <c r="I53" s="2" t="str">
        <f t="shared" si="1"/>
        <v>No</v>
      </c>
      <c r="J53" s="2" t="str">
        <f t="shared" si="2"/>
        <v>Low</v>
      </c>
    </row>
    <row r="54" spans="2:10">
      <c r="B54" s="1" t="s">
        <v>12</v>
      </c>
      <c r="C54" s="1" t="s">
        <v>114</v>
      </c>
      <c r="D54" s="1" t="s">
        <v>8</v>
      </c>
      <c r="E54" s="9" t="s">
        <v>115</v>
      </c>
      <c r="F54" s="1" t="s">
        <v>10</v>
      </c>
      <c r="G54" s="1" t="s">
        <v>62</v>
      </c>
      <c r="H54" s="2">
        <f t="shared" si="0"/>
        <v>4</v>
      </c>
      <c r="I54" s="2" t="str">
        <f t="shared" si="1"/>
        <v>Yes</v>
      </c>
      <c r="J54" s="2" t="str">
        <f t="shared" si="2"/>
        <v>High</v>
      </c>
    </row>
    <row r="55" spans="2:10">
      <c r="B55" s="1" t="s">
        <v>12</v>
      </c>
      <c r="C55" s="1" t="s">
        <v>116</v>
      </c>
      <c r="D55" s="1" t="s">
        <v>8</v>
      </c>
      <c r="E55" s="9" t="s">
        <v>117</v>
      </c>
      <c r="F55" s="1" t="s">
        <v>10</v>
      </c>
      <c r="G55" s="1" t="s">
        <v>56</v>
      </c>
      <c r="H55" s="2">
        <f t="shared" si="0"/>
        <v>15</v>
      </c>
      <c r="I55" s="2" t="str">
        <f t="shared" si="1"/>
        <v>Yes</v>
      </c>
      <c r="J55" s="2" t="str">
        <f t="shared" si="2"/>
        <v>High</v>
      </c>
    </row>
    <row r="56" spans="2:10">
      <c r="B56" s="1" t="s">
        <v>12</v>
      </c>
      <c r="C56" s="1" t="s">
        <v>116</v>
      </c>
      <c r="D56" s="1" t="s">
        <v>8</v>
      </c>
      <c r="E56" s="9" t="s">
        <v>118</v>
      </c>
      <c r="F56" s="1" t="s">
        <v>10</v>
      </c>
      <c r="G56" s="1" t="s">
        <v>62</v>
      </c>
      <c r="H56" s="2">
        <f t="shared" si="0"/>
        <v>6</v>
      </c>
      <c r="I56" s="2" t="str">
        <f t="shared" si="1"/>
        <v>No</v>
      </c>
      <c r="J56" s="2" t="str">
        <f t="shared" si="2"/>
        <v>Low</v>
      </c>
    </row>
    <row r="57" spans="2:10" ht="29">
      <c r="B57" s="1" t="s">
        <v>12</v>
      </c>
      <c r="C57" s="1" t="s">
        <v>119</v>
      </c>
      <c r="D57" s="1" t="s">
        <v>8</v>
      </c>
      <c r="E57" s="9" t="s">
        <v>120</v>
      </c>
      <c r="F57" s="1" t="s">
        <v>10</v>
      </c>
      <c r="G57" s="1" t="s">
        <v>56</v>
      </c>
      <c r="H57" s="2">
        <f t="shared" si="0"/>
        <v>12</v>
      </c>
      <c r="I57" s="2" t="str">
        <f t="shared" si="1"/>
        <v>No</v>
      </c>
      <c r="J57" s="2" t="str">
        <f t="shared" si="2"/>
        <v>Low</v>
      </c>
    </row>
    <row r="58" spans="2:10" ht="29">
      <c r="B58" s="1" t="s">
        <v>12</v>
      </c>
      <c r="C58" s="1" t="s">
        <v>119</v>
      </c>
      <c r="D58" s="1" t="s">
        <v>8</v>
      </c>
      <c r="E58" s="9" t="s">
        <v>121</v>
      </c>
      <c r="F58" s="1" t="s">
        <v>21</v>
      </c>
      <c r="G58" s="1" t="s">
        <v>64</v>
      </c>
      <c r="H58" s="2">
        <f t="shared" si="0"/>
        <v>5</v>
      </c>
      <c r="I58" s="2" t="str">
        <f t="shared" si="1"/>
        <v>No</v>
      </c>
      <c r="J58" s="2" t="str">
        <f t="shared" si="2"/>
        <v>Low</v>
      </c>
    </row>
    <row r="59" spans="2:10" ht="29">
      <c r="B59" s="1" t="s">
        <v>12</v>
      </c>
      <c r="C59" s="1" t="s">
        <v>119</v>
      </c>
      <c r="D59" s="1" t="s">
        <v>8</v>
      </c>
      <c r="E59" s="9" t="s">
        <v>122</v>
      </c>
      <c r="F59" s="1" t="s">
        <v>10</v>
      </c>
      <c r="G59" s="1" t="s">
        <v>62</v>
      </c>
      <c r="H59" s="2">
        <f t="shared" si="0"/>
        <v>6</v>
      </c>
      <c r="I59" s="2" t="str">
        <f t="shared" si="1"/>
        <v>Yes</v>
      </c>
      <c r="J59" s="2" t="str">
        <f t="shared" si="2"/>
        <v>High</v>
      </c>
    </row>
    <row r="60" spans="2:10" ht="29">
      <c r="B60" s="1" t="s">
        <v>12</v>
      </c>
      <c r="C60" s="1" t="s">
        <v>119</v>
      </c>
      <c r="D60" s="1" t="s">
        <v>8</v>
      </c>
      <c r="E60" s="9" t="s">
        <v>123</v>
      </c>
      <c r="F60" s="1" t="s">
        <v>10</v>
      </c>
      <c r="G60" s="1" t="s">
        <v>62</v>
      </c>
      <c r="H60" s="2">
        <f t="shared" si="0"/>
        <v>3</v>
      </c>
      <c r="I60" s="2" t="str">
        <f t="shared" si="1"/>
        <v>Yes</v>
      </c>
      <c r="J60" s="2" t="str">
        <f t="shared" si="2"/>
        <v>High</v>
      </c>
    </row>
    <row r="61" spans="2:10" ht="29">
      <c r="B61" s="1" t="s">
        <v>12</v>
      </c>
      <c r="C61" s="1" t="s">
        <v>119</v>
      </c>
      <c r="D61" s="1" t="s">
        <v>8</v>
      </c>
      <c r="E61" s="9" t="s">
        <v>124</v>
      </c>
      <c r="F61" s="1" t="s">
        <v>10</v>
      </c>
      <c r="G61" s="1" t="s">
        <v>56</v>
      </c>
      <c r="H61" s="2">
        <f t="shared" si="0"/>
        <v>10</v>
      </c>
      <c r="I61" s="2" t="str">
        <f t="shared" si="1"/>
        <v>No</v>
      </c>
      <c r="J61" s="2" t="str">
        <f t="shared" si="2"/>
        <v>Low</v>
      </c>
    </row>
    <row r="62" spans="2:10" ht="29">
      <c r="B62" s="1" t="s">
        <v>12</v>
      </c>
      <c r="C62" s="1" t="s">
        <v>125</v>
      </c>
      <c r="D62" s="1" t="s">
        <v>8</v>
      </c>
      <c r="E62" s="9" t="s">
        <v>126</v>
      </c>
      <c r="F62" s="1" t="s">
        <v>15</v>
      </c>
      <c r="G62" s="1" t="s">
        <v>56</v>
      </c>
      <c r="H62" s="2">
        <f t="shared" si="0"/>
        <v>16</v>
      </c>
      <c r="I62" s="2" t="str">
        <f t="shared" si="1"/>
        <v>Yes</v>
      </c>
      <c r="J62" s="2" t="str">
        <f t="shared" si="2"/>
        <v>High</v>
      </c>
    </row>
    <row r="63" spans="2:10">
      <c r="B63" s="1" t="s">
        <v>18</v>
      </c>
      <c r="C63" s="1" t="s">
        <v>127</v>
      </c>
      <c r="D63" s="1" t="s">
        <v>8</v>
      </c>
      <c r="E63" s="9" t="s">
        <v>128</v>
      </c>
      <c r="F63" s="1" t="s">
        <v>10</v>
      </c>
      <c r="G63" s="1" t="s">
        <v>70</v>
      </c>
      <c r="H63" s="2">
        <f t="shared" si="0"/>
        <v>4</v>
      </c>
      <c r="I63" s="2" t="str">
        <f t="shared" si="1"/>
        <v>No</v>
      </c>
      <c r="J63" s="2" t="str">
        <f t="shared" si="2"/>
        <v>Low</v>
      </c>
    </row>
    <row r="64" spans="2:10">
      <c r="B64" s="1" t="s">
        <v>18</v>
      </c>
      <c r="C64" s="1" t="s">
        <v>129</v>
      </c>
      <c r="D64" s="1" t="s">
        <v>8</v>
      </c>
      <c r="E64" s="9" t="s">
        <v>130</v>
      </c>
      <c r="F64" s="1" t="s">
        <v>10</v>
      </c>
      <c r="G64" s="1" t="s">
        <v>70</v>
      </c>
      <c r="H64" s="2">
        <f t="shared" si="0"/>
        <v>8</v>
      </c>
      <c r="I64" s="2" t="str">
        <f t="shared" si="1"/>
        <v>No</v>
      </c>
      <c r="J64" s="2" t="str">
        <f t="shared" si="2"/>
        <v>Low</v>
      </c>
    </row>
    <row r="65" spans="2:10">
      <c r="B65" s="1" t="s">
        <v>18</v>
      </c>
      <c r="C65" s="1" t="s">
        <v>129</v>
      </c>
      <c r="D65" s="1" t="s">
        <v>8</v>
      </c>
      <c r="E65" s="9" t="s">
        <v>131</v>
      </c>
      <c r="F65" s="1" t="s">
        <v>10</v>
      </c>
      <c r="G65" s="1" t="s">
        <v>70</v>
      </c>
      <c r="H65" s="2">
        <f t="shared" si="0"/>
        <v>11</v>
      </c>
      <c r="I65" s="2" t="str">
        <f t="shared" si="1"/>
        <v>No</v>
      </c>
      <c r="J65" s="2" t="str">
        <f t="shared" si="2"/>
        <v>Low</v>
      </c>
    </row>
    <row r="66" spans="2:10">
      <c r="B66" s="1" t="s">
        <v>18</v>
      </c>
      <c r="C66" s="1" t="s">
        <v>132</v>
      </c>
      <c r="D66" s="1" t="s">
        <v>8</v>
      </c>
      <c r="E66" s="9" t="s">
        <v>133</v>
      </c>
      <c r="F66" s="1" t="s">
        <v>10</v>
      </c>
      <c r="G66" s="1" t="s">
        <v>62</v>
      </c>
      <c r="H66" s="2">
        <f t="shared" si="0"/>
        <v>11</v>
      </c>
      <c r="I66" s="2" t="str">
        <f t="shared" si="1"/>
        <v>No</v>
      </c>
      <c r="J66" s="2" t="str">
        <f t="shared" si="2"/>
        <v>Low</v>
      </c>
    </row>
    <row r="67" spans="2:10">
      <c r="B67" s="1" t="s">
        <v>18</v>
      </c>
      <c r="C67" s="1" t="s">
        <v>134</v>
      </c>
      <c r="D67" s="1" t="s">
        <v>8</v>
      </c>
      <c r="E67" s="9" t="s">
        <v>135</v>
      </c>
      <c r="F67" s="1" t="s">
        <v>21</v>
      </c>
      <c r="G67" s="2" t="s">
        <v>295</v>
      </c>
      <c r="H67" s="2">
        <f t="shared" ref="H67:H130" si="3">LEN(TRIM(E67))-LEN(SUBSTITUTE(E67," ",""))+1</f>
        <v>3</v>
      </c>
      <c r="I67" s="2" t="str">
        <f t="shared" ref="I67:I130" si="4">IF(OR(
ISNUMBER(SEARCH("because",E67)),
ISNUMBER(SEARCH("therefore",E67)),
ISNUMBER(SEARCH("according",E67)),
ISNUMBER(SEARCH("should",E67)),
ISNUMBER(SEARCH("must",E67)),
ISNUMBER(SEARCH("real",E67)),
ISNUMBER(SEARCH("human",E67)),
ISNUMBER(SEARCH("original",E67)),
ISNUMBER(SEARCH("process",E67))
),"Yes","No")</f>
        <v>No</v>
      </c>
      <c r="J67" s="2" t="str">
        <f t="shared" ref="J67:J130" si="5">IF(OR(H67&gt;15,I67="Yes"),"High","Low")</f>
        <v>Low</v>
      </c>
    </row>
    <row r="68" spans="2:10">
      <c r="B68" s="1" t="s">
        <v>18</v>
      </c>
      <c r="C68" s="1" t="s">
        <v>134</v>
      </c>
      <c r="D68" s="1" t="s">
        <v>8</v>
      </c>
      <c r="E68" s="9" t="s">
        <v>136</v>
      </c>
      <c r="F68" s="1" t="s">
        <v>21</v>
      </c>
      <c r="G68" s="2" t="s">
        <v>295</v>
      </c>
      <c r="H68" s="2">
        <f t="shared" si="3"/>
        <v>4</v>
      </c>
      <c r="I68" s="2" t="str">
        <f t="shared" si="4"/>
        <v>No</v>
      </c>
      <c r="J68" s="2" t="str">
        <f t="shared" si="5"/>
        <v>Low</v>
      </c>
    </row>
    <row r="69" spans="2:10">
      <c r="B69" s="1" t="s">
        <v>18</v>
      </c>
      <c r="C69" s="1" t="s">
        <v>137</v>
      </c>
      <c r="D69" s="1" t="s">
        <v>8</v>
      </c>
      <c r="E69" s="9" t="s">
        <v>138</v>
      </c>
      <c r="F69" s="1" t="s">
        <v>21</v>
      </c>
      <c r="G69" s="1" t="s">
        <v>64</v>
      </c>
      <c r="H69" s="2">
        <f t="shared" si="3"/>
        <v>9</v>
      </c>
      <c r="I69" s="2" t="str">
        <f t="shared" si="4"/>
        <v>No</v>
      </c>
      <c r="J69" s="2" t="str">
        <f t="shared" si="5"/>
        <v>Low</v>
      </c>
    </row>
    <row r="70" spans="2:10">
      <c r="B70" s="1" t="s">
        <v>18</v>
      </c>
      <c r="C70" s="1" t="s">
        <v>139</v>
      </c>
      <c r="D70" s="1" t="s">
        <v>8</v>
      </c>
      <c r="E70" s="9" t="s">
        <v>140</v>
      </c>
      <c r="F70" s="1" t="s">
        <v>10</v>
      </c>
      <c r="G70" s="1" t="s">
        <v>62</v>
      </c>
      <c r="H70" s="2">
        <f t="shared" si="3"/>
        <v>4</v>
      </c>
      <c r="I70" s="2" t="str">
        <f t="shared" si="4"/>
        <v>Yes</v>
      </c>
      <c r="J70" s="2" t="str">
        <f t="shared" si="5"/>
        <v>High</v>
      </c>
    </row>
    <row r="71" spans="2:10">
      <c r="B71" s="1" t="s">
        <v>18</v>
      </c>
      <c r="C71" s="1" t="s">
        <v>141</v>
      </c>
      <c r="D71" s="1" t="s">
        <v>8</v>
      </c>
      <c r="E71" s="9" t="s">
        <v>142</v>
      </c>
      <c r="F71" s="1" t="s">
        <v>10</v>
      </c>
      <c r="G71" s="2" t="s">
        <v>295</v>
      </c>
      <c r="H71" s="2">
        <f t="shared" si="3"/>
        <v>9</v>
      </c>
      <c r="I71" s="2" t="str">
        <f t="shared" si="4"/>
        <v>No</v>
      </c>
      <c r="J71" s="2" t="str">
        <f t="shared" si="5"/>
        <v>Low</v>
      </c>
    </row>
    <row r="72" spans="2:10">
      <c r="B72" s="1" t="s">
        <v>18</v>
      </c>
      <c r="C72" s="1" t="s">
        <v>143</v>
      </c>
      <c r="D72" s="1" t="s">
        <v>8</v>
      </c>
      <c r="E72" s="9" t="s">
        <v>144</v>
      </c>
      <c r="F72" s="1" t="s">
        <v>10</v>
      </c>
      <c r="G72" s="1" t="s">
        <v>59</v>
      </c>
      <c r="H72" s="2">
        <f t="shared" si="3"/>
        <v>10</v>
      </c>
      <c r="I72" s="2" t="str">
        <f t="shared" si="4"/>
        <v>No</v>
      </c>
      <c r="J72" s="2" t="str">
        <f t="shared" si="5"/>
        <v>Low</v>
      </c>
    </row>
    <row r="73" spans="2:10">
      <c r="B73" s="1" t="s">
        <v>18</v>
      </c>
      <c r="C73" s="1" t="s">
        <v>145</v>
      </c>
      <c r="D73" s="1" t="s">
        <v>8</v>
      </c>
      <c r="E73" s="9" t="s">
        <v>146</v>
      </c>
      <c r="F73" s="1" t="s">
        <v>10</v>
      </c>
      <c r="G73" s="1" t="s">
        <v>70</v>
      </c>
      <c r="H73" s="2">
        <f t="shared" si="3"/>
        <v>4</v>
      </c>
      <c r="I73" s="2" t="str">
        <f t="shared" si="4"/>
        <v>No</v>
      </c>
      <c r="J73" s="2" t="str">
        <f t="shared" si="5"/>
        <v>Low</v>
      </c>
    </row>
    <row r="74" spans="2:10">
      <c r="B74" s="1" t="s">
        <v>18</v>
      </c>
      <c r="C74" s="1" t="s">
        <v>147</v>
      </c>
      <c r="D74" s="1" t="s">
        <v>8</v>
      </c>
      <c r="E74" s="9" t="s">
        <v>148</v>
      </c>
      <c r="F74" s="1" t="s">
        <v>10</v>
      </c>
      <c r="G74" s="1" t="s">
        <v>62</v>
      </c>
      <c r="H74" s="2">
        <f t="shared" si="3"/>
        <v>8</v>
      </c>
      <c r="I74" s="2" t="str">
        <f t="shared" si="4"/>
        <v>No</v>
      </c>
      <c r="J74" s="2" t="str">
        <f t="shared" si="5"/>
        <v>Low</v>
      </c>
    </row>
    <row r="75" spans="2:10">
      <c r="B75" s="1" t="s">
        <v>18</v>
      </c>
      <c r="C75" s="1" t="s">
        <v>149</v>
      </c>
      <c r="D75" s="1" t="s">
        <v>8</v>
      </c>
      <c r="E75" s="9" t="s">
        <v>150</v>
      </c>
      <c r="F75" s="1" t="s">
        <v>10</v>
      </c>
      <c r="G75" s="1" t="s">
        <v>59</v>
      </c>
      <c r="H75" s="2">
        <f t="shared" si="3"/>
        <v>11</v>
      </c>
      <c r="I75" s="2" t="str">
        <f t="shared" si="4"/>
        <v>Yes</v>
      </c>
      <c r="J75" s="2" t="str">
        <f t="shared" si="5"/>
        <v>High</v>
      </c>
    </row>
    <row r="76" spans="2:10">
      <c r="B76" s="1" t="s">
        <v>18</v>
      </c>
      <c r="C76" s="1" t="s">
        <v>151</v>
      </c>
      <c r="D76" s="1" t="s">
        <v>8</v>
      </c>
      <c r="E76" s="9" t="s">
        <v>152</v>
      </c>
      <c r="F76" s="1" t="s">
        <v>10</v>
      </c>
      <c r="G76" s="1" t="s">
        <v>70</v>
      </c>
      <c r="H76" s="2">
        <f t="shared" si="3"/>
        <v>9</v>
      </c>
      <c r="I76" s="2" t="str">
        <f t="shared" si="4"/>
        <v>No</v>
      </c>
      <c r="J76" s="2" t="str">
        <f t="shared" si="5"/>
        <v>Low</v>
      </c>
    </row>
    <row r="77" spans="2:10">
      <c r="B77" s="1" t="s">
        <v>18</v>
      </c>
      <c r="C77" s="1" t="s">
        <v>153</v>
      </c>
      <c r="D77" s="1" t="s">
        <v>8</v>
      </c>
      <c r="E77" s="9" t="s">
        <v>154</v>
      </c>
      <c r="F77" s="1" t="s">
        <v>10</v>
      </c>
      <c r="G77" s="1" t="s">
        <v>62</v>
      </c>
      <c r="H77" s="2">
        <f t="shared" si="3"/>
        <v>8</v>
      </c>
      <c r="I77" s="2" t="str">
        <f t="shared" si="4"/>
        <v>Yes</v>
      </c>
      <c r="J77" s="2" t="str">
        <f t="shared" si="5"/>
        <v>High</v>
      </c>
    </row>
    <row r="78" spans="2:10">
      <c r="B78" s="1" t="s">
        <v>18</v>
      </c>
      <c r="C78" s="1" t="s">
        <v>141</v>
      </c>
      <c r="D78" s="1" t="s">
        <v>8</v>
      </c>
      <c r="E78" s="9" t="s">
        <v>155</v>
      </c>
      <c r="F78" s="1" t="s">
        <v>10</v>
      </c>
      <c r="G78" s="2" t="s">
        <v>295</v>
      </c>
      <c r="H78" s="2">
        <f t="shared" si="3"/>
        <v>14</v>
      </c>
      <c r="I78" s="2" t="str">
        <f t="shared" si="4"/>
        <v>No</v>
      </c>
      <c r="J78" s="2" t="str">
        <f t="shared" si="5"/>
        <v>Low</v>
      </c>
    </row>
    <row r="79" spans="2:10">
      <c r="B79" s="1" t="s">
        <v>18</v>
      </c>
      <c r="C79" s="1" t="s">
        <v>156</v>
      </c>
      <c r="D79" s="1" t="s">
        <v>8</v>
      </c>
      <c r="E79" s="9" t="s">
        <v>157</v>
      </c>
      <c r="F79" s="1" t="s">
        <v>10</v>
      </c>
      <c r="G79" s="1" t="s">
        <v>56</v>
      </c>
      <c r="H79" s="2">
        <f t="shared" si="3"/>
        <v>7</v>
      </c>
      <c r="I79" s="2" t="str">
        <f t="shared" si="4"/>
        <v>Yes</v>
      </c>
      <c r="J79" s="2" t="str">
        <f t="shared" si="5"/>
        <v>High</v>
      </c>
    </row>
    <row r="80" spans="2:10">
      <c r="B80" s="1" t="s">
        <v>18</v>
      </c>
      <c r="C80" s="1" t="s">
        <v>158</v>
      </c>
      <c r="D80" s="1" t="s">
        <v>8</v>
      </c>
      <c r="E80" s="9" t="s">
        <v>159</v>
      </c>
      <c r="F80" s="1" t="s">
        <v>21</v>
      </c>
      <c r="G80" s="2" t="s">
        <v>295</v>
      </c>
      <c r="H80" s="2">
        <f t="shared" si="3"/>
        <v>4</v>
      </c>
      <c r="I80" s="2" t="str">
        <f t="shared" si="4"/>
        <v>No</v>
      </c>
      <c r="J80" s="2" t="str">
        <f t="shared" si="5"/>
        <v>Low</v>
      </c>
    </row>
    <row r="81" spans="2:10">
      <c r="B81" s="1" t="s">
        <v>12</v>
      </c>
      <c r="C81" s="1" t="s">
        <v>160</v>
      </c>
      <c r="D81" s="1" t="s">
        <v>8</v>
      </c>
      <c r="E81" s="6" t="s">
        <v>161</v>
      </c>
      <c r="F81" s="1" t="s">
        <v>10</v>
      </c>
      <c r="G81" s="1" t="s">
        <v>59</v>
      </c>
      <c r="H81" s="2">
        <f t="shared" si="3"/>
        <v>12</v>
      </c>
      <c r="I81" s="2" t="str">
        <f t="shared" si="4"/>
        <v>No</v>
      </c>
      <c r="J81" s="2" t="str">
        <f t="shared" si="5"/>
        <v>Low</v>
      </c>
    </row>
    <row r="82" spans="2:10">
      <c r="B82" s="1" t="s">
        <v>12</v>
      </c>
      <c r="C82" s="1" t="s">
        <v>160</v>
      </c>
      <c r="D82" s="1" t="s">
        <v>8</v>
      </c>
      <c r="E82" s="6" t="s">
        <v>162</v>
      </c>
      <c r="F82" s="1" t="s">
        <v>21</v>
      </c>
      <c r="G82" s="1" t="s">
        <v>64</v>
      </c>
      <c r="H82" s="2">
        <f t="shared" si="3"/>
        <v>8</v>
      </c>
      <c r="I82" s="2" t="str">
        <f t="shared" si="4"/>
        <v>No</v>
      </c>
      <c r="J82" s="2" t="str">
        <f t="shared" si="5"/>
        <v>Low</v>
      </c>
    </row>
    <row r="83" spans="2:10" ht="29">
      <c r="B83" s="1" t="s">
        <v>12</v>
      </c>
      <c r="C83" s="1" t="s">
        <v>163</v>
      </c>
      <c r="D83" s="1" t="s">
        <v>8</v>
      </c>
      <c r="E83" s="6" t="s">
        <v>164</v>
      </c>
      <c r="F83" s="1" t="s">
        <v>10</v>
      </c>
      <c r="G83" s="1" t="s">
        <v>62</v>
      </c>
      <c r="H83" s="2">
        <f t="shared" si="3"/>
        <v>11</v>
      </c>
      <c r="I83" s="2" t="str">
        <f t="shared" si="4"/>
        <v>No</v>
      </c>
      <c r="J83" s="2" t="str">
        <f t="shared" si="5"/>
        <v>Low</v>
      </c>
    </row>
    <row r="84" spans="2:10">
      <c r="B84" s="1" t="s">
        <v>12</v>
      </c>
      <c r="C84" s="1" t="s">
        <v>165</v>
      </c>
      <c r="D84" s="1" t="s">
        <v>8</v>
      </c>
      <c r="E84" s="6" t="s">
        <v>166</v>
      </c>
      <c r="F84" s="1" t="s">
        <v>10</v>
      </c>
      <c r="G84" s="1" t="s">
        <v>62</v>
      </c>
      <c r="H84" s="2">
        <f t="shared" si="3"/>
        <v>14</v>
      </c>
      <c r="I84" s="2" t="str">
        <f t="shared" si="4"/>
        <v>No</v>
      </c>
      <c r="J84" s="2" t="str">
        <f t="shared" si="5"/>
        <v>Low</v>
      </c>
    </row>
    <row r="85" spans="2:10">
      <c r="B85" s="1" t="s">
        <v>12</v>
      </c>
      <c r="C85" s="1" t="s">
        <v>167</v>
      </c>
      <c r="D85" s="1" t="s">
        <v>8</v>
      </c>
      <c r="E85" s="6" t="s">
        <v>168</v>
      </c>
      <c r="F85" s="1" t="s">
        <v>10</v>
      </c>
      <c r="G85" s="1" t="s">
        <v>62</v>
      </c>
      <c r="H85" s="2">
        <f t="shared" si="3"/>
        <v>8</v>
      </c>
      <c r="I85" s="2" t="str">
        <f t="shared" si="4"/>
        <v>No</v>
      </c>
      <c r="J85" s="2" t="str">
        <f t="shared" si="5"/>
        <v>Low</v>
      </c>
    </row>
    <row r="86" spans="2:10">
      <c r="B86" s="1" t="s">
        <v>12</v>
      </c>
      <c r="C86" s="1" t="s">
        <v>169</v>
      </c>
      <c r="D86" s="1" t="s">
        <v>8</v>
      </c>
      <c r="E86" s="6" t="s">
        <v>170</v>
      </c>
      <c r="F86" s="1" t="s">
        <v>15</v>
      </c>
      <c r="G86" s="1" t="s">
        <v>70</v>
      </c>
      <c r="H86" s="2">
        <f t="shared" si="3"/>
        <v>9</v>
      </c>
      <c r="I86" s="2" t="str">
        <f t="shared" si="4"/>
        <v>No</v>
      </c>
      <c r="J86" s="2" t="str">
        <f t="shared" si="5"/>
        <v>Low</v>
      </c>
    </row>
    <row r="87" spans="2:10">
      <c r="B87" s="1" t="s">
        <v>12</v>
      </c>
      <c r="C87" s="1" t="s">
        <v>171</v>
      </c>
      <c r="D87" s="1" t="s">
        <v>8</v>
      </c>
      <c r="E87" s="6" t="s">
        <v>172</v>
      </c>
      <c r="F87" s="1" t="s">
        <v>10</v>
      </c>
      <c r="G87" s="1" t="s">
        <v>62</v>
      </c>
      <c r="H87" s="2">
        <f t="shared" si="3"/>
        <v>9</v>
      </c>
      <c r="I87" s="2" t="str">
        <f t="shared" si="4"/>
        <v>Yes</v>
      </c>
      <c r="J87" s="2" t="str">
        <f t="shared" si="5"/>
        <v>High</v>
      </c>
    </row>
    <row r="88" spans="2:10">
      <c r="B88" s="1" t="s">
        <v>12</v>
      </c>
      <c r="C88" s="1" t="s">
        <v>173</v>
      </c>
      <c r="D88" s="1" t="s">
        <v>8</v>
      </c>
      <c r="E88" s="6" t="s">
        <v>174</v>
      </c>
      <c r="F88" s="1" t="s">
        <v>10</v>
      </c>
      <c r="G88" s="1" t="s">
        <v>62</v>
      </c>
      <c r="H88" s="2">
        <f t="shared" si="3"/>
        <v>9</v>
      </c>
      <c r="I88" s="2" t="str">
        <f t="shared" si="4"/>
        <v>No</v>
      </c>
      <c r="J88" s="2" t="str">
        <f t="shared" si="5"/>
        <v>Low</v>
      </c>
    </row>
    <row r="89" spans="2:10">
      <c r="B89" s="1" t="s">
        <v>12</v>
      </c>
      <c r="C89" s="1" t="s">
        <v>175</v>
      </c>
      <c r="D89" s="1" t="s">
        <v>8</v>
      </c>
      <c r="E89" s="6" t="s">
        <v>176</v>
      </c>
      <c r="F89" s="1" t="s">
        <v>10</v>
      </c>
      <c r="G89" s="1" t="s">
        <v>70</v>
      </c>
      <c r="H89" s="2">
        <f t="shared" si="3"/>
        <v>7</v>
      </c>
      <c r="I89" s="2" t="str">
        <f t="shared" si="4"/>
        <v>No</v>
      </c>
      <c r="J89" s="2" t="str">
        <f t="shared" si="5"/>
        <v>Low</v>
      </c>
    </row>
    <row r="90" spans="2:10" ht="29">
      <c r="B90" s="1" t="s">
        <v>12</v>
      </c>
      <c r="C90" s="1" t="s">
        <v>177</v>
      </c>
      <c r="D90" s="1" t="s">
        <v>8</v>
      </c>
      <c r="E90" s="6" t="s">
        <v>178</v>
      </c>
      <c r="F90" s="1" t="s">
        <v>10</v>
      </c>
      <c r="G90" s="1" t="s">
        <v>59</v>
      </c>
      <c r="H90" s="2">
        <f t="shared" si="3"/>
        <v>16</v>
      </c>
      <c r="I90" s="2" t="str">
        <f t="shared" si="4"/>
        <v>Yes</v>
      </c>
      <c r="J90" s="2" t="str">
        <f t="shared" si="5"/>
        <v>High</v>
      </c>
    </row>
    <row r="91" spans="2:10">
      <c r="B91" s="1" t="s">
        <v>12</v>
      </c>
      <c r="C91" s="1" t="s">
        <v>179</v>
      </c>
      <c r="D91" s="1" t="s">
        <v>8</v>
      </c>
      <c r="E91" s="6" t="s">
        <v>180</v>
      </c>
      <c r="F91" s="1" t="s">
        <v>15</v>
      </c>
      <c r="G91" s="1" t="s">
        <v>64</v>
      </c>
      <c r="H91" s="2">
        <f t="shared" si="3"/>
        <v>14</v>
      </c>
      <c r="I91" s="2" t="str">
        <f t="shared" si="4"/>
        <v>No</v>
      </c>
      <c r="J91" s="2" t="str">
        <f t="shared" si="5"/>
        <v>Low</v>
      </c>
    </row>
    <row r="92" spans="2:10">
      <c r="B92" s="1" t="s">
        <v>12</v>
      </c>
      <c r="C92" s="1" t="s">
        <v>181</v>
      </c>
      <c r="D92" s="1" t="s">
        <v>8</v>
      </c>
      <c r="E92" s="6" t="s">
        <v>182</v>
      </c>
      <c r="F92" s="1" t="s">
        <v>10</v>
      </c>
      <c r="G92" s="1" t="s">
        <v>70</v>
      </c>
      <c r="H92" s="2">
        <f t="shared" si="3"/>
        <v>12</v>
      </c>
      <c r="I92" s="2" t="str">
        <f t="shared" si="4"/>
        <v>No</v>
      </c>
      <c r="J92" s="2" t="str">
        <f t="shared" si="5"/>
        <v>Low</v>
      </c>
    </row>
    <row r="93" spans="2:10">
      <c r="B93" s="1" t="s">
        <v>12</v>
      </c>
      <c r="C93" s="1" t="s">
        <v>183</v>
      </c>
      <c r="D93" s="1" t="s">
        <v>8</v>
      </c>
      <c r="E93" s="6" t="s">
        <v>184</v>
      </c>
      <c r="F93" s="1" t="s">
        <v>10</v>
      </c>
      <c r="G93" s="1" t="s">
        <v>70</v>
      </c>
      <c r="H93" s="2">
        <f t="shared" si="3"/>
        <v>11</v>
      </c>
      <c r="I93" s="2" t="str">
        <f t="shared" si="4"/>
        <v>Yes</v>
      </c>
      <c r="J93" s="2" t="str">
        <f t="shared" si="5"/>
        <v>High</v>
      </c>
    </row>
    <row r="94" spans="2:10">
      <c r="B94" s="1" t="s">
        <v>12</v>
      </c>
      <c r="C94" s="1" t="s">
        <v>185</v>
      </c>
      <c r="D94" s="1" t="s">
        <v>8</v>
      </c>
      <c r="E94" s="6" t="s">
        <v>186</v>
      </c>
      <c r="F94" s="1" t="s">
        <v>10</v>
      </c>
      <c r="G94" s="1" t="s">
        <v>62</v>
      </c>
      <c r="H94" s="2">
        <f t="shared" si="3"/>
        <v>12</v>
      </c>
      <c r="I94" s="2" t="str">
        <f t="shared" si="4"/>
        <v>No</v>
      </c>
      <c r="J94" s="2" t="str">
        <f t="shared" si="5"/>
        <v>Low</v>
      </c>
    </row>
    <row r="95" spans="2:10">
      <c r="B95" s="1" t="s">
        <v>12</v>
      </c>
      <c r="C95" s="1" t="s">
        <v>187</v>
      </c>
      <c r="D95" s="1" t="s">
        <v>8</v>
      </c>
      <c r="E95" s="6" t="s">
        <v>188</v>
      </c>
      <c r="F95" s="1" t="s">
        <v>10</v>
      </c>
      <c r="G95" s="1" t="s">
        <v>62</v>
      </c>
      <c r="H95" s="2">
        <f t="shared" si="3"/>
        <v>5</v>
      </c>
      <c r="I95" s="2" t="str">
        <f t="shared" si="4"/>
        <v>No</v>
      </c>
      <c r="J95" s="2" t="str">
        <f t="shared" si="5"/>
        <v>Low</v>
      </c>
    </row>
    <row r="96" spans="2:10">
      <c r="B96" s="1" t="s">
        <v>12</v>
      </c>
      <c r="C96" s="1" t="s">
        <v>189</v>
      </c>
      <c r="D96" s="1" t="s">
        <v>8</v>
      </c>
      <c r="E96" s="6" t="s">
        <v>190</v>
      </c>
      <c r="F96" s="1" t="s">
        <v>10</v>
      </c>
      <c r="G96" s="1" t="s">
        <v>70</v>
      </c>
      <c r="H96" s="2">
        <f t="shared" si="3"/>
        <v>9</v>
      </c>
      <c r="I96" s="2" t="str">
        <f t="shared" si="4"/>
        <v>No</v>
      </c>
      <c r="J96" s="2" t="str">
        <f t="shared" si="5"/>
        <v>Low</v>
      </c>
    </row>
    <row r="97" spans="2:10">
      <c r="B97" s="1" t="s">
        <v>12</v>
      </c>
      <c r="C97" s="1" t="s">
        <v>191</v>
      </c>
      <c r="D97" s="1" t="s">
        <v>8</v>
      </c>
      <c r="E97" s="6" t="s">
        <v>192</v>
      </c>
      <c r="F97" s="1" t="s">
        <v>10</v>
      </c>
      <c r="G97" s="1" t="s">
        <v>59</v>
      </c>
      <c r="H97" s="2">
        <f t="shared" si="3"/>
        <v>10</v>
      </c>
      <c r="I97" s="2" t="str">
        <f t="shared" si="4"/>
        <v>No</v>
      </c>
      <c r="J97" s="2" t="str">
        <f t="shared" si="5"/>
        <v>Low</v>
      </c>
    </row>
    <row r="98" spans="2:10">
      <c r="B98" s="1" t="s">
        <v>12</v>
      </c>
      <c r="C98" s="1" t="s">
        <v>193</v>
      </c>
      <c r="D98" s="1" t="s">
        <v>8</v>
      </c>
      <c r="E98" s="6" t="s">
        <v>194</v>
      </c>
      <c r="F98" s="1" t="s">
        <v>10</v>
      </c>
      <c r="G98" s="1" t="s">
        <v>56</v>
      </c>
      <c r="H98" s="2">
        <f t="shared" si="3"/>
        <v>10</v>
      </c>
      <c r="I98" s="2" t="str">
        <f t="shared" si="4"/>
        <v>Yes</v>
      </c>
      <c r="J98" s="2" t="str">
        <f t="shared" si="5"/>
        <v>High</v>
      </c>
    </row>
    <row r="99" spans="2:10">
      <c r="B99" s="1" t="s">
        <v>12</v>
      </c>
      <c r="C99" s="1" t="s">
        <v>195</v>
      </c>
      <c r="D99" s="1" t="s">
        <v>8</v>
      </c>
      <c r="E99" s="6" t="s">
        <v>196</v>
      </c>
      <c r="F99" s="1" t="s">
        <v>10</v>
      </c>
      <c r="G99" s="1" t="s">
        <v>56</v>
      </c>
      <c r="H99" s="2">
        <f t="shared" si="3"/>
        <v>12</v>
      </c>
      <c r="I99" s="2" t="str">
        <f t="shared" si="4"/>
        <v>Yes</v>
      </c>
      <c r="J99" s="2" t="str">
        <f t="shared" si="5"/>
        <v>High</v>
      </c>
    </row>
    <row r="100" spans="2:10">
      <c r="B100" s="1" t="s">
        <v>12</v>
      </c>
      <c r="C100" s="1" t="s">
        <v>197</v>
      </c>
      <c r="D100" s="1" t="s">
        <v>8</v>
      </c>
      <c r="E100" s="6" t="s">
        <v>198</v>
      </c>
      <c r="F100" s="1" t="s">
        <v>21</v>
      </c>
      <c r="G100" s="1" t="s">
        <v>64</v>
      </c>
      <c r="H100" s="2">
        <f t="shared" si="3"/>
        <v>4</v>
      </c>
      <c r="I100" s="2" t="str">
        <f t="shared" si="4"/>
        <v>No</v>
      </c>
      <c r="J100" s="2" t="str">
        <f t="shared" si="5"/>
        <v>Low</v>
      </c>
    </row>
    <row r="101" spans="2:10">
      <c r="B101" s="1" t="s">
        <v>12</v>
      </c>
      <c r="C101" s="1" t="s">
        <v>199</v>
      </c>
      <c r="D101" s="1" t="s">
        <v>8</v>
      </c>
      <c r="E101" s="6" t="s">
        <v>200</v>
      </c>
      <c r="F101" s="1" t="s">
        <v>21</v>
      </c>
      <c r="G101" s="1" t="s">
        <v>64</v>
      </c>
      <c r="H101" s="2">
        <f t="shared" si="3"/>
        <v>9</v>
      </c>
      <c r="I101" s="2" t="str">
        <f t="shared" si="4"/>
        <v>No</v>
      </c>
      <c r="J101" s="2" t="str">
        <f t="shared" si="5"/>
        <v>Low</v>
      </c>
    </row>
    <row r="102" spans="2:10">
      <c r="B102" s="1" t="s">
        <v>12</v>
      </c>
      <c r="C102" s="1" t="s">
        <v>201</v>
      </c>
      <c r="D102" s="1" t="s">
        <v>8</v>
      </c>
      <c r="E102" s="6" t="s">
        <v>202</v>
      </c>
      <c r="F102" s="1" t="s">
        <v>10</v>
      </c>
      <c r="G102" s="1" t="s">
        <v>56</v>
      </c>
      <c r="H102" s="2">
        <f t="shared" si="3"/>
        <v>9</v>
      </c>
      <c r="I102" s="2" t="str">
        <f t="shared" si="4"/>
        <v>No</v>
      </c>
      <c r="J102" s="2" t="str">
        <f t="shared" si="5"/>
        <v>Low</v>
      </c>
    </row>
    <row r="103" spans="2:10">
      <c r="B103" s="1" t="s">
        <v>12</v>
      </c>
      <c r="C103" s="1" t="s">
        <v>197</v>
      </c>
      <c r="D103" s="1" t="s">
        <v>8</v>
      </c>
      <c r="E103" s="6" t="s">
        <v>203</v>
      </c>
      <c r="F103" s="1" t="s">
        <v>21</v>
      </c>
      <c r="G103" s="1" t="s">
        <v>64</v>
      </c>
      <c r="H103" s="2">
        <f t="shared" si="3"/>
        <v>3</v>
      </c>
      <c r="I103" s="2" t="str">
        <f t="shared" si="4"/>
        <v>No</v>
      </c>
      <c r="J103" s="2" t="str">
        <f t="shared" si="5"/>
        <v>Low</v>
      </c>
    </row>
    <row r="104" spans="2:10">
      <c r="B104" s="1" t="s">
        <v>12</v>
      </c>
      <c r="C104" s="1" t="s">
        <v>204</v>
      </c>
      <c r="D104" s="1" t="s">
        <v>8</v>
      </c>
      <c r="E104" s="6" t="s">
        <v>205</v>
      </c>
      <c r="F104" s="1" t="s">
        <v>10</v>
      </c>
      <c r="G104" s="1" t="s">
        <v>62</v>
      </c>
      <c r="H104" s="2">
        <f t="shared" si="3"/>
        <v>5</v>
      </c>
      <c r="I104" s="2" t="str">
        <f t="shared" si="4"/>
        <v>No</v>
      </c>
      <c r="J104" s="2" t="str">
        <f t="shared" si="5"/>
        <v>Low</v>
      </c>
    </row>
    <row r="105" spans="2:10" ht="58">
      <c r="B105" s="1" t="s">
        <v>18</v>
      </c>
      <c r="C105" s="1" t="s">
        <v>249</v>
      </c>
      <c r="D105" s="1" t="s">
        <v>8</v>
      </c>
      <c r="E105" s="6" t="s">
        <v>206</v>
      </c>
      <c r="F105" s="1" t="s">
        <v>10</v>
      </c>
      <c r="G105" s="1" t="s">
        <v>62</v>
      </c>
      <c r="H105" s="2">
        <f t="shared" si="3"/>
        <v>46</v>
      </c>
      <c r="I105" s="2" t="str">
        <f t="shared" si="4"/>
        <v>Yes</v>
      </c>
      <c r="J105" s="2" t="str">
        <f t="shared" si="5"/>
        <v>High</v>
      </c>
    </row>
    <row r="106" spans="2:10">
      <c r="B106" s="1" t="s">
        <v>18</v>
      </c>
      <c r="C106" s="1" t="s">
        <v>207</v>
      </c>
      <c r="D106" s="1" t="s">
        <v>8</v>
      </c>
      <c r="E106" s="6" t="s">
        <v>208</v>
      </c>
      <c r="F106" s="1" t="s">
        <v>21</v>
      </c>
      <c r="G106" s="1" t="s">
        <v>64</v>
      </c>
      <c r="H106" s="2">
        <f t="shared" si="3"/>
        <v>4</v>
      </c>
      <c r="I106" s="2" t="str">
        <f t="shared" si="4"/>
        <v>No</v>
      </c>
      <c r="J106" s="2" t="str">
        <f t="shared" si="5"/>
        <v>Low</v>
      </c>
    </row>
    <row r="107" spans="2:10" ht="29">
      <c r="B107" s="1" t="s">
        <v>18</v>
      </c>
      <c r="C107" s="1" t="s">
        <v>207</v>
      </c>
      <c r="D107" s="1" t="s">
        <v>8</v>
      </c>
      <c r="E107" s="6" t="s">
        <v>209</v>
      </c>
      <c r="F107" s="1" t="s">
        <v>21</v>
      </c>
      <c r="G107" s="1" t="s">
        <v>64</v>
      </c>
      <c r="H107" s="2">
        <f t="shared" si="3"/>
        <v>19</v>
      </c>
      <c r="I107" s="2" t="str">
        <f t="shared" si="4"/>
        <v>No</v>
      </c>
      <c r="J107" s="2" t="str">
        <f t="shared" si="5"/>
        <v>High</v>
      </c>
    </row>
    <row r="108" spans="2:10">
      <c r="B108" s="1" t="s">
        <v>18</v>
      </c>
      <c r="C108" s="1" t="s">
        <v>210</v>
      </c>
      <c r="D108" s="1" t="s">
        <v>8</v>
      </c>
      <c r="E108" s="6" t="s">
        <v>211</v>
      </c>
      <c r="F108" s="1" t="s">
        <v>21</v>
      </c>
      <c r="G108" s="1" t="s">
        <v>64</v>
      </c>
      <c r="H108" s="2">
        <f t="shared" si="3"/>
        <v>10</v>
      </c>
      <c r="I108" s="2" t="str">
        <f t="shared" si="4"/>
        <v>No</v>
      </c>
      <c r="J108" s="2" t="str">
        <f t="shared" si="5"/>
        <v>Low</v>
      </c>
    </row>
    <row r="109" spans="2:10">
      <c r="B109" s="1" t="s">
        <v>18</v>
      </c>
      <c r="C109" s="1" t="s">
        <v>210</v>
      </c>
      <c r="D109" s="1" t="s">
        <v>8</v>
      </c>
      <c r="E109" s="6" t="s">
        <v>212</v>
      </c>
      <c r="F109" s="1" t="s">
        <v>10</v>
      </c>
      <c r="G109" s="1" t="s">
        <v>59</v>
      </c>
      <c r="H109" s="2">
        <f t="shared" si="3"/>
        <v>10</v>
      </c>
      <c r="I109" s="2" t="str">
        <f t="shared" si="4"/>
        <v>No</v>
      </c>
      <c r="J109" s="2" t="str">
        <f t="shared" si="5"/>
        <v>Low</v>
      </c>
    </row>
    <row r="110" spans="2:10">
      <c r="B110" s="1" t="s">
        <v>18</v>
      </c>
      <c r="C110" s="1" t="s">
        <v>210</v>
      </c>
      <c r="D110" s="1" t="s">
        <v>8</v>
      </c>
      <c r="E110" s="6" t="s">
        <v>213</v>
      </c>
      <c r="F110" s="1" t="s">
        <v>10</v>
      </c>
      <c r="G110" s="1" t="s">
        <v>70</v>
      </c>
      <c r="H110" s="2">
        <f t="shared" si="3"/>
        <v>8</v>
      </c>
      <c r="I110" s="2" t="str">
        <f t="shared" si="4"/>
        <v>No</v>
      </c>
      <c r="J110" s="2" t="str">
        <f t="shared" si="5"/>
        <v>Low</v>
      </c>
    </row>
    <row r="111" spans="2:10">
      <c r="B111" s="1" t="s">
        <v>18</v>
      </c>
      <c r="C111" s="1" t="s">
        <v>210</v>
      </c>
      <c r="D111" s="1" t="s">
        <v>8</v>
      </c>
      <c r="E111" s="6" t="s">
        <v>214</v>
      </c>
      <c r="F111" s="1" t="s">
        <v>21</v>
      </c>
      <c r="G111" s="1" t="s">
        <v>70</v>
      </c>
      <c r="H111" s="2">
        <f t="shared" si="3"/>
        <v>9</v>
      </c>
      <c r="I111" s="2" t="str">
        <f t="shared" si="4"/>
        <v>No</v>
      </c>
      <c r="J111" s="2" t="str">
        <f t="shared" si="5"/>
        <v>Low</v>
      </c>
    </row>
    <row r="112" spans="2:10">
      <c r="B112" s="1" t="s">
        <v>18</v>
      </c>
      <c r="C112" s="1" t="s">
        <v>210</v>
      </c>
      <c r="D112" s="1" t="s">
        <v>8</v>
      </c>
      <c r="E112" s="6" t="s">
        <v>215</v>
      </c>
      <c r="F112" s="1" t="s">
        <v>10</v>
      </c>
      <c r="G112" s="1" t="s">
        <v>56</v>
      </c>
      <c r="H112" s="2">
        <f t="shared" si="3"/>
        <v>11</v>
      </c>
      <c r="I112" s="2" t="str">
        <f t="shared" si="4"/>
        <v>No</v>
      </c>
      <c r="J112" s="2" t="str">
        <f t="shared" si="5"/>
        <v>Low</v>
      </c>
    </row>
    <row r="113" spans="2:10">
      <c r="B113" s="1" t="s">
        <v>18</v>
      </c>
      <c r="C113" s="1" t="s">
        <v>210</v>
      </c>
      <c r="D113" s="1" t="s">
        <v>8</v>
      </c>
      <c r="E113" s="6" t="s">
        <v>216</v>
      </c>
      <c r="F113" s="1" t="s">
        <v>10</v>
      </c>
      <c r="G113" s="1" t="s">
        <v>59</v>
      </c>
      <c r="H113" s="2">
        <f t="shared" si="3"/>
        <v>7</v>
      </c>
      <c r="I113" s="2" t="str">
        <f t="shared" si="4"/>
        <v>No</v>
      </c>
      <c r="J113" s="2" t="str">
        <f t="shared" si="5"/>
        <v>Low</v>
      </c>
    </row>
    <row r="114" spans="2:10">
      <c r="B114" s="1" t="s">
        <v>18</v>
      </c>
      <c r="C114" s="1" t="s">
        <v>217</v>
      </c>
      <c r="D114" s="1" t="s">
        <v>8</v>
      </c>
      <c r="E114" s="6" t="s">
        <v>218</v>
      </c>
      <c r="F114" s="1" t="s">
        <v>10</v>
      </c>
      <c r="G114" s="1" t="s">
        <v>56</v>
      </c>
      <c r="H114" s="2">
        <f t="shared" si="3"/>
        <v>11</v>
      </c>
      <c r="I114" s="2" t="str">
        <f t="shared" si="4"/>
        <v>Yes</v>
      </c>
      <c r="J114" s="2" t="str">
        <f t="shared" si="5"/>
        <v>High</v>
      </c>
    </row>
    <row r="115" spans="2:10">
      <c r="B115" s="1" t="s">
        <v>18</v>
      </c>
      <c r="C115" s="1" t="s">
        <v>219</v>
      </c>
      <c r="D115" s="1" t="s">
        <v>8</v>
      </c>
      <c r="E115" s="6" t="s">
        <v>220</v>
      </c>
      <c r="F115" s="1" t="s">
        <v>21</v>
      </c>
      <c r="G115" s="1" t="s">
        <v>70</v>
      </c>
      <c r="H115" s="2">
        <f t="shared" si="3"/>
        <v>9</v>
      </c>
      <c r="I115" s="2" t="str">
        <f t="shared" si="4"/>
        <v>No</v>
      </c>
      <c r="J115" s="2" t="str">
        <f t="shared" si="5"/>
        <v>Low</v>
      </c>
    </row>
    <row r="116" spans="2:10">
      <c r="B116" s="1" t="s">
        <v>18</v>
      </c>
      <c r="C116" s="1" t="s">
        <v>221</v>
      </c>
      <c r="D116" s="1" t="s">
        <v>8</v>
      </c>
      <c r="E116" s="6" t="s">
        <v>222</v>
      </c>
      <c r="F116" s="1" t="s">
        <v>10</v>
      </c>
      <c r="G116" s="1" t="s">
        <v>62</v>
      </c>
      <c r="H116" s="2">
        <f t="shared" si="3"/>
        <v>7</v>
      </c>
      <c r="I116" s="2" t="str">
        <f t="shared" si="4"/>
        <v>No</v>
      </c>
      <c r="J116" s="2" t="str">
        <f t="shared" si="5"/>
        <v>Low</v>
      </c>
    </row>
    <row r="117" spans="2:10">
      <c r="B117" s="1" t="s">
        <v>18</v>
      </c>
      <c r="C117" s="1" t="s">
        <v>223</v>
      </c>
      <c r="D117" s="1" t="s">
        <v>8</v>
      </c>
      <c r="E117" s="6" t="s">
        <v>224</v>
      </c>
      <c r="F117" s="1" t="s">
        <v>10</v>
      </c>
      <c r="G117" s="1" t="s">
        <v>59</v>
      </c>
      <c r="H117" s="2">
        <f t="shared" si="3"/>
        <v>11</v>
      </c>
      <c r="I117" s="2" t="str">
        <f t="shared" si="4"/>
        <v>Yes</v>
      </c>
      <c r="J117" s="2" t="str">
        <f t="shared" si="5"/>
        <v>High</v>
      </c>
    </row>
    <row r="118" spans="2:10">
      <c r="B118" s="1" t="s">
        <v>18</v>
      </c>
      <c r="C118" s="1" t="s">
        <v>223</v>
      </c>
      <c r="D118" s="1" t="s">
        <v>8</v>
      </c>
      <c r="E118" s="6" t="s">
        <v>225</v>
      </c>
      <c r="F118" s="1" t="s">
        <v>10</v>
      </c>
      <c r="G118" s="1" t="s">
        <v>62</v>
      </c>
      <c r="H118" s="2">
        <f t="shared" si="3"/>
        <v>11</v>
      </c>
      <c r="I118" s="2" t="str">
        <f t="shared" si="4"/>
        <v>No</v>
      </c>
      <c r="J118" s="2" t="str">
        <f t="shared" si="5"/>
        <v>Low</v>
      </c>
    </row>
    <row r="119" spans="2:10">
      <c r="B119" s="1" t="s">
        <v>18</v>
      </c>
      <c r="C119" s="1" t="s">
        <v>226</v>
      </c>
      <c r="D119" s="1" t="s">
        <v>8</v>
      </c>
      <c r="E119" s="6" t="s">
        <v>227</v>
      </c>
      <c r="F119" s="1" t="s">
        <v>10</v>
      </c>
      <c r="G119" s="1" t="s">
        <v>62</v>
      </c>
      <c r="H119" s="2">
        <f t="shared" si="3"/>
        <v>12</v>
      </c>
      <c r="I119" s="2" t="str">
        <f t="shared" si="4"/>
        <v>No</v>
      </c>
      <c r="J119" s="2" t="str">
        <f t="shared" si="5"/>
        <v>Low</v>
      </c>
    </row>
    <row r="120" spans="2:10">
      <c r="B120" s="1" t="s">
        <v>18</v>
      </c>
      <c r="C120" s="1" t="s">
        <v>228</v>
      </c>
      <c r="D120" s="1" t="s">
        <v>8</v>
      </c>
      <c r="E120" s="6" t="s">
        <v>229</v>
      </c>
      <c r="F120" s="1" t="s">
        <v>10</v>
      </c>
      <c r="G120" s="1" t="s">
        <v>59</v>
      </c>
      <c r="H120" s="2">
        <f t="shared" si="3"/>
        <v>4</v>
      </c>
      <c r="I120" s="2" t="str">
        <f t="shared" si="4"/>
        <v>No</v>
      </c>
      <c r="J120" s="2" t="str">
        <f t="shared" si="5"/>
        <v>Low</v>
      </c>
    </row>
    <row r="121" spans="2:10">
      <c r="B121" s="1" t="s">
        <v>18</v>
      </c>
      <c r="C121" s="1" t="s">
        <v>230</v>
      </c>
      <c r="D121" s="1" t="s">
        <v>8</v>
      </c>
      <c r="E121" s="6" t="s">
        <v>231</v>
      </c>
      <c r="F121" s="1" t="s">
        <v>10</v>
      </c>
      <c r="G121" s="1" t="s">
        <v>62</v>
      </c>
      <c r="H121" s="2">
        <f t="shared" si="3"/>
        <v>9</v>
      </c>
      <c r="I121" s="2" t="str">
        <f t="shared" si="4"/>
        <v>Yes</v>
      </c>
      <c r="J121" s="2" t="str">
        <f t="shared" si="5"/>
        <v>High</v>
      </c>
    </row>
    <row r="122" spans="2:10">
      <c r="B122" s="1" t="s">
        <v>18</v>
      </c>
      <c r="C122" s="1" t="s">
        <v>232</v>
      </c>
      <c r="D122" s="1" t="s">
        <v>8</v>
      </c>
      <c r="E122" s="6" t="s">
        <v>233</v>
      </c>
      <c r="F122" s="1" t="s">
        <v>10</v>
      </c>
      <c r="G122" s="1" t="s">
        <v>62</v>
      </c>
      <c r="H122" s="2">
        <f t="shared" si="3"/>
        <v>4</v>
      </c>
      <c r="I122" s="2" t="str">
        <f t="shared" si="4"/>
        <v>No</v>
      </c>
      <c r="J122" s="2" t="str">
        <f t="shared" si="5"/>
        <v>Low</v>
      </c>
    </row>
    <row r="123" spans="2:10">
      <c r="B123" s="1" t="s">
        <v>18</v>
      </c>
      <c r="C123" s="1" t="s">
        <v>234</v>
      </c>
      <c r="D123" s="1" t="s">
        <v>8</v>
      </c>
      <c r="E123" s="6" t="s">
        <v>235</v>
      </c>
      <c r="F123" s="1" t="s">
        <v>10</v>
      </c>
      <c r="G123" s="1" t="s">
        <v>62</v>
      </c>
      <c r="H123" s="2">
        <f t="shared" si="3"/>
        <v>11</v>
      </c>
      <c r="I123" s="2" t="str">
        <f t="shared" si="4"/>
        <v>Yes</v>
      </c>
      <c r="J123" s="2" t="str">
        <f t="shared" si="5"/>
        <v>High</v>
      </c>
    </row>
    <row r="124" spans="2:10">
      <c r="B124" s="1" t="s">
        <v>18</v>
      </c>
      <c r="C124" s="1" t="s">
        <v>236</v>
      </c>
      <c r="D124" s="1" t="s">
        <v>8</v>
      </c>
      <c r="E124" s="6" t="s">
        <v>237</v>
      </c>
      <c r="F124" s="1" t="s">
        <v>21</v>
      </c>
      <c r="G124" s="1" t="s">
        <v>64</v>
      </c>
      <c r="H124" s="2">
        <f t="shared" si="3"/>
        <v>9</v>
      </c>
      <c r="I124" s="2" t="str">
        <f t="shared" si="4"/>
        <v>No</v>
      </c>
      <c r="J124" s="2" t="str">
        <f t="shared" si="5"/>
        <v>Low</v>
      </c>
    </row>
    <row r="125" spans="2:10">
      <c r="B125" s="1" t="s">
        <v>18</v>
      </c>
      <c r="C125" s="1" t="s">
        <v>236</v>
      </c>
      <c r="D125" s="1" t="s">
        <v>8</v>
      </c>
      <c r="E125" s="6" t="s">
        <v>238</v>
      </c>
      <c r="F125" s="1" t="s">
        <v>21</v>
      </c>
      <c r="G125" s="1" t="s">
        <v>64</v>
      </c>
      <c r="H125" s="2">
        <f t="shared" si="3"/>
        <v>12</v>
      </c>
      <c r="I125" s="2" t="str">
        <f t="shared" si="4"/>
        <v>Yes</v>
      </c>
      <c r="J125" s="2" t="str">
        <f t="shared" si="5"/>
        <v>High</v>
      </c>
    </row>
    <row r="126" spans="2:10">
      <c r="B126" s="1" t="s">
        <v>18</v>
      </c>
      <c r="C126" s="1" t="s">
        <v>239</v>
      </c>
      <c r="D126" s="1" t="s">
        <v>8</v>
      </c>
      <c r="E126" s="6" t="s">
        <v>240</v>
      </c>
      <c r="F126" s="1" t="s">
        <v>21</v>
      </c>
      <c r="G126" s="1" t="s">
        <v>64</v>
      </c>
      <c r="H126" s="2">
        <f t="shared" si="3"/>
        <v>9</v>
      </c>
      <c r="I126" s="2" t="str">
        <f t="shared" si="4"/>
        <v>No</v>
      </c>
      <c r="J126" s="2" t="str">
        <f t="shared" si="5"/>
        <v>Low</v>
      </c>
    </row>
    <row r="127" spans="2:10">
      <c r="B127" s="1" t="s">
        <v>18</v>
      </c>
      <c r="C127" s="1" t="s">
        <v>241</v>
      </c>
      <c r="D127" s="1" t="s">
        <v>8</v>
      </c>
      <c r="E127" s="6" t="s">
        <v>242</v>
      </c>
      <c r="F127" s="1" t="s">
        <v>10</v>
      </c>
      <c r="G127" s="1" t="s">
        <v>59</v>
      </c>
      <c r="H127" s="2">
        <f t="shared" si="3"/>
        <v>10</v>
      </c>
      <c r="I127" s="2" t="str">
        <f t="shared" si="4"/>
        <v>Yes</v>
      </c>
      <c r="J127" s="2" t="str">
        <f t="shared" si="5"/>
        <v>High</v>
      </c>
    </row>
    <row r="128" spans="2:10">
      <c r="B128" s="1" t="s">
        <v>18</v>
      </c>
      <c r="C128" s="1" t="s">
        <v>243</v>
      </c>
      <c r="D128" s="1" t="s">
        <v>8</v>
      </c>
      <c r="E128" s="6" t="s">
        <v>244</v>
      </c>
      <c r="F128" s="1" t="s">
        <v>10</v>
      </c>
      <c r="G128" s="1" t="s">
        <v>70</v>
      </c>
      <c r="H128" s="2">
        <f t="shared" si="3"/>
        <v>13</v>
      </c>
      <c r="I128" s="2" t="str">
        <f t="shared" si="4"/>
        <v>Yes</v>
      </c>
      <c r="J128" s="2" t="str">
        <f t="shared" si="5"/>
        <v>High</v>
      </c>
    </row>
    <row r="129" spans="2:10">
      <c r="B129" s="1" t="s">
        <v>18</v>
      </c>
      <c r="C129" s="1" t="s">
        <v>245</v>
      </c>
      <c r="D129" s="1" t="s">
        <v>8</v>
      </c>
      <c r="E129" s="6" t="s">
        <v>246</v>
      </c>
      <c r="F129" s="1" t="s">
        <v>10</v>
      </c>
      <c r="G129" s="1" t="s">
        <v>70</v>
      </c>
      <c r="H129" s="2">
        <f t="shared" si="3"/>
        <v>11</v>
      </c>
      <c r="I129" s="2" t="str">
        <f t="shared" si="4"/>
        <v>No</v>
      </c>
      <c r="J129" s="2" t="str">
        <f t="shared" si="5"/>
        <v>Low</v>
      </c>
    </row>
    <row r="130" spans="2:10" ht="29">
      <c r="B130" s="1" t="s">
        <v>18</v>
      </c>
      <c r="C130" s="1" t="s">
        <v>247</v>
      </c>
      <c r="D130" s="1" t="s">
        <v>8</v>
      </c>
      <c r="E130" s="6" t="s">
        <v>248</v>
      </c>
      <c r="F130" s="1" t="s">
        <v>10</v>
      </c>
      <c r="G130" s="11" t="s">
        <v>56</v>
      </c>
      <c r="H130" s="2">
        <f t="shared" si="3"/>
        <v>8</v>
      </c>
      <c r="I130" s="2" t="str">
        <f t="shared" si="4"/>
        <v>No</v>
      </c>
      <c r="J130" s="2" t="str">
        <f t="shared" si="5"/>
        <v>Low</v>
      </c>
    </row>
    <row r="131" spans="2:10" ht="43.5">
      <c r="B131" s="1" t="s">
        <v>18</v>
      </c>
      <c r="C131" s="1" t="s">
        <v>78</v>
      </c>
      <c r="D131" s="1" t="s">
        <v>8</v>
      </c>
      <c r="E131" s="6" t="s">
        <v>250</v>
      </c>
      <c r="F131" s="1" t="s">
        <v>21</v>
      </c>
      <c r="G131" s="11" t="s">
        <v>64</v>
      </c>
      <c r="H131" s="2">
        <f t="shared" ref="H131:H194" si="6">LEN(TRIM(E131))-LEN(SUBSTITUTE(E131," ",""))+1</f>
        <v>38</v>
      </c>
      <c r="I131" s="2" t="str">
        <f t="shared" ref="I131:I194" si="7">IF(OR(
ISNUMBER(SEARCH("because",E131)),
ISNUMBER(SEARCH("therefore",E131)),
ISNUMBER(SEARCH("according",E131)),
ISNUMBER(SEARCH("should",E131)),
ISNUMBER(SEARCH("must",E131)),
ISNUMBER(SEARCH("real",E131)),
ISNUMBER(SEARCH("human",E131)),
ISNUMBER(SEARCH("original",E131)),
ISNUMBER(SEARCH("process",E131))
),"Yes","No")</f>
        <v>Yes</v>
      </c>
      <c r="J131" s="2" t="str">
        <f t="shared" ref="J131:J194" si="8">IF(OR(H131&gt;15,I131="Yes"),"High","Low")</f>
        <v>High</v>
      </c>
    </row>
    <row r="132" spans="2:10" ht="29">
      <c r="B132" s="1" t="s">
        <v>12</v>
      </c>
      <c r="C132" s="1" t="s">
        <v>54</v>
      </c>
      <c r="D132" s="1" t="s">
        <v>8</v>
      </c>
      <c r="E132" s="6" t="s">
        <v>252</v>
      </c>
      <c r="F132" s="1" t="s">
        <v>10</v>
      </c>
      <c r="G132" s="6" t="s">
        <v>56</v>
      </c>
      <c r="H132" s="2">
        <f t="shared" si="6"/>
        <v>20</v>
      </c>
      <c r="I132" s="2" t="str">
        <f t="shared" si="7"/>
        <v>Yes</v>
      </c>
      <c r="J132" s="2" t="str">
        <f t="shared" si="8"/>
        <v>High</v>
      </c>
    </row>
    <row r="133" spans="2:10">
      <c r="B133" s="1" t="s">
        <v>12</v>
      </c>
      <c r="C133" s="1" t="s">
        <v>54</v>
      </c>
      <c r="D133" s="1" t="s">
        <v>8</v>
      </c>
      <c r="E133" s="6" t="s">
        <v>253</v>
      </c>
      <c r="F133" s="1" t="s">
        <v>10</v>
      </c>
      <c r="G133" s="1" t="s">
        <v>62</v>
      </c>
      <c r="H133" s="2">
        <f t="shared" si="6"/>
        <v>13</v>
      </c>
      <c r="I133" s="2" t="str">
        <f t="shared" si="7"/>
        <v>No</v>
      </c>
      <c r="J133" s="2" t="str">
        <f t="shared" si="8"/>
        <v>Low</v>
      </c>
    </row>
    <row r="134" spans="2:10">
      <c r="B134" s="1" t="s">
        <v>12</v>
      </c>
      <c r="C134" s="1" t="s">
        <v>54</v>
      </c>
      <c r="D134" s="1" t="s">
        <v>8</v>
      </c>
      <c r="E134" s="6" t="s">
        <v>254</v>
      </c>
      <c r="F134" s="1" t="s">
        <v>10</v>
      </c>
      <c r="G134" s="1" t="s">
        <v>62</v>
      </c>
      <c r="H134" s="2">
        <f t="shared" si="6"/>
        <v>9</v>
      </c>
      <c r="I134" s="2" t="str">
        <f t="shared" si="7"/>
        <v>Yes</v>
      </c>
      <c r="J134" s="2" t="str">
        <f t="shared" si="8"/>
        <v>High</v>
      </c>
    </row>
    <row r="135" spans="2:10">
      <c r="B135" s="1" t="s">
        <v>12</v>
      </c>
      <c r="C135" s="1" t="s">
        <v>54</v>
      </c>
      <c r="D135" s="1" t="s">
        <v>8</v>
      </c>
      <c r="E135" s="6" t="s">
        <v>255</v>
      </c>
      <c r="F135" s="1" t="s">
        <v>10</v>
      </c>
      <c r="G135" s="1" t="s">
        <v>62</v>
      </c>
      <c r="H135" s="2">
        <f t="shared" si="6"/>
        <v>9</v>
      </c>
      <c r="I135" s="2" t="str">
        <f t="shared" si="7"/>
        <v>No</v>
      </c>
      <c r="J135" s="2" t="str">
        <f t="shared" si="8"/>
        <v>Low</v>
      </c>
    </row>
    <row r="136" spans="2:10">
      <c r="B136" s="1" t="s">
        <v>12</v>
      </c>
      <c r="C136" s="1" t="s">
        <v>54</v>
      </c>
      <c r="D136" s="1" t="s">
        <v>8</v>
      </c>
      <c r="E136" s="6" t="s">
        <v>256</v>
      </c>
      <c r="F136" s="1" t="s">
        <v>10</v>
      </c>
      <c r="G136" s="1" t="s">
        <v>64</v>
      </c>
      <c r="H136" s="2">
        <f t="shared" si="6"/>
        <v>12</v>
      </c>
      <c r="I136" s="2" t="str">
        <f t="shared" si="7"/>
        <v>Yes</v>
      </c>
      <c r="J136" s="2" t="str">
        <f t="shared" si="8"/>
        <v>High</v>
      </c>
    </row>
    <row r="137" spans="2:10">
      <c r="B137" s="1" t="s">
        <v>12</v>
      </c>
      <c r="C137" s="1" t="s">
        <v>257</v>
      </c>
      <c r="D137" s="1" t="s">
        <v>8</v>
      </c>
      <c r="E137" s="6" t="s">
        <v>258</v>
      </c>
      <c r="F137" s="1" t="s">
        <v>10</v>
      </c>
      <c r="G137" s="1" t="s">
        <v>59</v>
      </c>
      <c r="H137" s="2">
        <f t="shared" si="6"/>
        <v>13</v>
      </c>
      <c r="I137" s="2" t="str">
        <f t="shared" si="7"/>
        <v>Yes</v>
      </c>
      <c r="J137" s="2" t="str">
        <f t="shared" si="8"/>
        <v>High</v>
      </c>
    </row>
    <row r="138" spans="2:10">
      <c r="B138" s="1" t="s">
        <v>12</v>
      </c>
      <c r="C138" s="1" t="s">
        <v>259</v>
      </c>
      <c r="D138" s="1" t="s">
        <v>8</v>
      </c>
      <c r="E138" s="6" t="s">
        <v>260</v>
      </c>
      <c r="F138" s="1" t="s">
        <v>21</v>
      </c>
      <c r="G138" s="1" t="s">
        <v>64</v>
      </c>
      <c r="H138" s="2">
        <f t="shared" si="6"/>
        <v>7</v>
      </c>
      <c r="I138" s="2" t="str">
        <f t="shared" si="7"/>
        <v>Yes</v>
      </c>
      <c r="J138" s="2" t="str">
        <f t="shared" si="8"/>
        <v>High</v>
      </c>
    </row>
    <row r="139" spans="2:10">
      <c r="B139" s="1" t="s">
        <v>12</v>
      </c>
      <c r="C139" s="1" t="s">
        <v>261</v>
      </c>
      <c r="D139" s="1" t="s">
        <v>8</v>
      </c>
      <c r="E139" s="6" t="s">
        <v>262</v>
      </c>
      <c r="F139" s="1" t="s">
        <v>10</v>
      </c>
      <c r="G139" s="2" t="s">
        <v>295</v>
      </c>
      <c r="H139" s="2">
        <f t="shared" si="6"/>
        <v>7</v>
      </c>
      <c r="I139" s="2" t="str">
        <f t="shared" si="7"/>
        <v>No</v>
      </c>
      <c r="J139" s="2" t="str">
        <f t="shared" si="8"/>
        <v>Low</v>
      </c>
    </row>
    <row r="140" spans="2:10">
      <c r="B140" s="1" t="s">
        <v>12</v>
      </c>
      <c r="C140" s="1" t="s">
        <v>35</v>
      </c>
      <c r="D140" s="1" t="s">
        <v>8</v>
      </c>
      <c r="E140" s="6" t="s">
        <v>263</v>
      </c>
      <c r="F140" s="1" t="s">
        <v>10</v>
      </c>
      <c r="G140" s="1" t="s">
        <v>64</v>
      </c>
      <c r="H140" s="2">
        <f t="shared" si="6"/>
        <v>8</v>
      </c>
      <c r="I140" s="2" t="str">
        <f t="shared" si="7"/>
        <v>No</v>
      </c>
      <c r="J140" s="2" t="str">
        <f t="shared" si="8"/>
        <v>Low</v>
      </c>
    </row>
    <row r="141" spans="2:10">
      <c r="B141" s="1" t="s">
        <v>12</v>
      </c>
      <c r="C141" s="1" t="s">
        <v>264</v>
      </c>
      <c r="D141" s="1" t="s">
        <v>8</v>
      </c>
      <c r="E141" s="6" t="s">
        <v>265</v>
      </c>
      <c r="F141" s="1" t="s">
        <v>23</v>
      </c>
      <c r="G141" s="1" t="s">
        <v>56</v>
      </c>
      <c r="H141" s="2">
        <f t="shared" si="6"/>
        <v>9</v>
      </c>
      <c r="I141" s="2" t="str">
        <f t="shared" si="7"/>
        <v>No</v>
      </c>
      <c r="J141" s="2" t="str">
        <f t="shared" si="8"/>
        <v>Low</v>
      </c>
    </row>
    <row r="142" spans="2:10">
      <c r="B142" s="1" t="s">
        <v>12</v>
      </c>
      <c r="C142" s="1" t="s">
        <v>264</v>
      </c>
      <c r="D142" s="1" t="s">
        <v>8</v>
      </c>
      <c r="E142" s="6" t="s">
        <v>266</v>
      </c>
      <c r="F142" s="1" t="s">
        <v>10</v>
      </c>
      <c r="G142" s="1" t="s">
        <v>59</v>
      </c>
      <c r="H142" s="2">
        <f t="shared" si="6"/>
        <v>10</v>
      </c>
      <c r="I142" s="2" t="str">
        <f t="shared" si="7"/>
        <v>Yes</v>
      </c>
      <c r="J142" s="2" t="str">
        <f t="shared" si="8"/>
        <v>High</v>
      </c>
    </row>
    <row r="143" spans="2:10">
      <c r="B143" s="1" t="s">
        <v>12</v>
      </c>
      <c r="C143" s="1" t="s">
        <v>54</v>
      </c>
      <c r="D143" s="1" t="s">
        <v>8</v>
      </c>
      <c r="E143" s="6" t="s">
        <v>267</v>
      </c>
      <c r="F143" s="1" t="s">
        <v>10</v>
      </c>
      <c r="G143" s="2" t="s">
        <v>62</v>
      </c>
      <c r="H143" s="2">
        <f t="shared" si="6"/>
        <v>6</v>
      </c>
      <c r="I143" s="2" t="str">
        <f t="shared" si="7"/>
        <v>No</v>
      </c>
      <c r="J143" s="2" t="str">
        <f t="shared" si="8"/>
        <v>Low</v>
      </c>
    </row>
    <row r="144" spans="2:10">
      <c r="B144" s="1" t="s">
        <v>12</v>
      </c>
      <c r="C144" s="1" t="s">
        <v>269</v>
      </c>
      <c r="D144" s="1" t="s">
        <v>8</v>
      </c>
      <c r="E144" s="6" t="s">
        <v>270</v>
      </c>
      <c r="F144" s="1" t="s">
        <v>21</v>
      </c>
      <c r="G144" s="2" t="s">
        <v>295</v>
      </c>
      <c r="H144" s="2">
        <f t="shared" si="6"/>
        <v>3</v>
      </c>
      <c r="I144" s="2" t="str">
        <f t="shared" si="7"/>
        <v>No</v>
      </c>
      <c r="J144" s="2" t="str">
        <f t="shared" si="8"/>
        <v>Low</v>
      </c>
    </row>
    <row r="145" spans="2:10">
      <c r="B145" s="1" t="s">
        <v>12</v>
      </c>
      <c r="C145" s="1" t="s">
        <v>268</v>
      </c>
      <c r="D145" s="1" t="s">
        <v>8</v>
      </c>
      <c r="E145" s="6" t="s">
        <v>271</v>
      </c>
      <c r="F145" s="1" t="s">
        <v>10</v>
      </c>
      <c r="G145" s="1" t="s">
        <v>62</v>
      </c>
      <c r="H145" s="2">
        <f t="shared" si="6"/>
        <v>9</v>
      </c>
      <c r="I145" s="2" t="str">
        <f t="shared" si="7"/>
        <v>Yes</v>
      </c>
      <c r="J145" s="2" t="str">
        <f t="shared" si="8"/>
        <v>High</v>
      </c>
    </row>
    <row r="146" spans="2:10" ht="29">
      <c r="B146" s="1" t="s">
        <v>12</v>
      </c>
      <c r="C146" s="1" t="s">
        <v>268</v>
      </c>
      <c r="D146" s="1" t="s">
        <v>8</v>
      </c>
      <c r="E146" s="6" t="s">
        <v>272</v>
      </c>
      <c r="F146" s="1" t="s">
        <v>15</v>
      </c>
      <c r="G146" s="1" t="s">
        <v>64</v>
      </c>
      <c r="H146" s="2">
        <f t="shared" si="6"/>
        <v>15</v>
      </c>
      <c r="I146" s="2" t="str">
        <f t="shared" si="7"/>
        <v>Yes</v>
      </c>
      <c r="J146" s="2" t="str">
        <f t="shared" si="8"/>
        <v>High</v>
      </c>
    </row>
    <row r="147" spans="2:10">
      <c r="B147" s="1" t="s">
        <v>12</v>
      </c>
      <c r="C147" s="1" t="s">
        <v>273</v>
      </c>
      <c r="D147" s="1" t="s">
        <v>8</v>
      </c>
      <c r="E147" s="6" t="s">
        <v>274</v>
      </c>
      <c r="F147" s="1" t="s">
        <v>21</v>
      </c>
      <c r="G147" s="1" t="s">
        <v>64</v>
      </c>
      <c r="H147" s="2">
        <f t="shared" si="6"/>
        <v>11</v>
      </c>
      <c r="I147" s="2" t="str">
        <f t="shared" si="7"/>
        <v>No</v>
      </c>
      <c r="J147" s="2" t="str">
        <f t="shared" si="8"/>
        <v>Low</v>
      </c>
    </row>
    <row r="148" spans="2:10">
      <c r="B148" s="1" t="s">
        <v>12</v>
      </c>
      <c r="C148" s="1" t="s">
        <v>275</v>
      </c>
      <c r="D148" s="1" t="s">
        <v>8</v>
      </c>
      <c r="E148" s="6" t="s">
        <v>276</v>
      </c>
      <c r="F148" s="1" t="s">
        <v>21</v>
      </c>
      <c r="G148" s="1" t="s">
        <v>64</v>
      </c>
      <c r="H148" s="2">
        <f t="shared" si="6"/>
        <v>9</v>
      </c>
      <c r="I148" s="2" t="str">
        <f t="shared" si="7"/>
        <v>No</v>
      </c>
      <c r="J148" s="2" t="str">
        <f t="shared" si="8"/>
        <v>Low</v>
      </c>
    </row>
    <row r="149" spans="2:10">
      <c r="B149" s="1" t="s">
        <v>12</v>
      </c>
      <c r="C149" s="1" t="s">
        <v>277</v>
      </c>
      <c r="D149" s="1" t="s">
        <v>8</v>
      </c>
      <c r="E149" s="6" t="s">
        <v>278</v>
      </c>
      <c r="F149" s="1" t="s">
        <v>10</v>
      </c>
      <c r="G149" s="1" t="s">
        <v>70</v>
      </c>
      <c r="H149" s="2">
        <f t="shared" si="6"/>
        <v>9</v>
      </c>
      <c r="I149" s="2" t="str">
        <f t="shared" si="7"/>
        <v>No</v>
      </c>
      <c r="J149" s="2" t="str">
        <f t="shared" si="8"/>
        <v>Low</v>
      </c>
    </row>
    <row r="150" spans="2:10">
      <c r="B150" s="1" t="s">
        <v>12</v>
      </c>
      <c r="C150" s="1" t="s">
        <v>277</v>
      </c>
      <c r="D150" s="1" t="s">
        <v>8</v>
      </c>
      <c r="E150" s="6" t="s">
        <v>279</v>
      </c>
      <c r="F150" s="1" t="s">
        <v>10</v>
      </c>
      <c r="G150" s="1" t="s">
        <v>59</v>
      </c>
      <c r="H150" s="2">
        <f t="shared" si="6"/>
        <v>8</v>
      </c>
      <c r="I150" s="2" t="str">
        <f t="shared" si="7"/>
        <v>No</v>
      </c>
      <c r="J150" s="2" t="str">
        <f t="shared" si="8"/>
        <v>Low</v>
      </c>
    </row>
    <row r="151" spans="2:10" ht="29">
      <c r="B151" s="1" t="s">
        <v>12</v>
      </c>
      <c r="C151" s="1" t="s">
        <v>280</v>
      </c>
      <c r="D151" s="1" t="s">
        <v>8</v>
      </c>
      <c r="E151" s="6" t="s">
        <v>281</v>
      </c>
      <c r="F151" s="1" t="s">
        <v>10</v>
      </c>
      <c r="G151" s="2" t="s">
        <v>295</v>
      </c>
      <c r="H151" s="2">
        <f t="shared" si="6"/>
        <v>14</v>
      </c>
      <c r="I151" s="2" t="str">
        <f t="shared" si="7"/>
        <v>Yes</v>
      </c>
      <c r="J151" s="2" t="str">
        <f t="shared" si="8"/>
        <v>High</v>
      </c>
    </row>
    <row r="152" spans="2:10">
      <c r="B152" s="1" t="s">
        <v>12</v>
      </c>
      <c r="C152" s="1" t="s">
        <v>282</v>
      </c>
      <c r="D152" s="1" t="s">
        <v>8</v>
      </c>
      <c r="E152" s="6" t="s">
        <v>283</v>
      </c>
      <c r="F152" s="1" t="s">
        <v>10</v>
      </c>
      <c r="G152" s="1" t="s">
        <v>56</v>
      </c>
      <c r="H152" s="2">
        <f t="shared" si="6"/>
        <v>11</v>
      </c>
      <c r="I152" s="2" t="str">
        <f t="shared" si="7"/>
        <v>Yes</v>
      </c>
      <c r="J152" s="2" t="str">
        <f t="shared" si="8"/>
        <v>High</v>
      </c>
    </row>
    <row r="153" spans="2:10">
      <c r="B153" s="1" t="s">
        <v>12</v>
      </c>
      <c r="C153" s="1" t="s">
        <v>284</v>
      </c>
      <c r="D153" s="1" t="s">
        <v>8</v>
      </c>
      <c r="E153" s="6" t="s">
        <v>285</v>
      </c>
      <c r="F153" s="1" t="s">
        <v>10</v>
      </c>
      <c r="G153" s="1" t="s">
        <v>62</v>
      </c>
      <c r="H153" s="2">
        <f t="shared" si="6"/>
        <v>12</v>
      </c>
      <c r="I153" s="2" t="str">
        <f t="shared" si="7"/>
        <v>No</v>
      </c>
      <c r="J153" s="2" t="str">
        <f t="shared" si="8"/>
        <v>Low</v>
      </c>
    </row>
    <row r="154" spans="2:10">
      <c r="B154" s="1" t="s">
        <v>12</v>
      </c>
      <c r="C154" s="1" t="s">
        <v>296</v>
      </c>
      <c r="D154" s="1" t="s">
        <v>251</v>
      </c>
      <c r="E154" s="6" t="s">
        <v>297</v>
      </c>
      <c r="F154" s="1" t="s">
        <v>21</v>
      </c>
      <c r="G154" s="1" t="s">
        <v>56</v>
      </c>
      <c r="H154" s="2">
        <f t="shared" si="6"/>
        <v>1</v>
      </c>
      <c r="I154" s="2" t="str">
        <f t="shared" si="7"/>
        <v>No</v>
      </c>
      <c r="J154" s="2" t="str">
        <f t="shared" si="8"/>
        <v>Low</v>
      </c>
    </row>
    <row r="155" spans="2:10">
      <c r="B155" s="1" t="s">
        <v>12</v>
      </c>
      <c r="C155" s="1" t="s">
        <v>296</v>
      </c>
      <c r="D155" s="1" t="s">
        <v>251</v>
      </c>
      <c r="E155" s="6" t="s">
        <v>298</v>
      </c>
      <c r="F155" s="1" t="s">
        <v>21</v>
      </c>
      <c r="G155" s="1" t="s">
        <v>56</v>
      </c>
      <c r="H155" s="2">
        <f t="shared" si="6"/>
        <v>5</v>
      </c>
      <c r="I155" s="2" t="str">
        <f t="shared" si="7"/>
        <v>No</v>
      </c>
      <c r="J155" s="2" t="str">
        <f t="shared" si="8"/>
        <v>Low</v>
      </c>
    </row>
    <row r="156" spans="2:10">
      <c r="B156" s="1" t="s">
        <v>12</v>
      </c>
      <c r="C156" s="1" t="s">
        <v>296</v>
      </c>
      <c r="D156" s="1" t="s">
        <v>251</v>
      </c>
      <c r="E156" s="6" t="s">
        <v>299</v>
      </c>
      <c r="F156" s="1" t="s">
        <v>21</v>
      </c>
      <c r="G156" s="1" t="s">
        <v>56</v>
      </c>
      <c r="H156" s="2">
        <f t="shared" si="6"/>
        <v>1</v>
      </c>
      <c r="I156" s="2" t="str">
        <f t="shared" si="7"/>
        <v>No</v>
      </c>
      <c r="J156" s="2" t="str">
        <f t="shared" si="8"/>
        <v>Low</v>
      </c>
    </row>
    <row r="157" spans="2:10">
      <c r="B157" s="1" t="s">
        <v>12</v>
      </c>
      <c r="C157" s="1" t="s">
        <v>296</v>
      </c>
      <c r="D157" s="1" t="s">
        <v>251</v>
      </c>
      <c r="E157" s="6" t="s">
        <v>300</v>
      </c>
      <c r="F157" s="1" t="s">
        <v>21</v>
      </c>
      <c r="G157" s="1" t="s">
        <v>56</v>
      </c>
      <c r="H157" s="2">
        <f t="shared" si="6"/>
        <v>1</v>
      </c>
      <c r="I157" s="2" t="str">
        <f t="shared" si="7"/>
        <v>No</v>
      </c>
      <c r="J157" s="2" t="str">
        <f t="shared" si="8"/>
        <v>Low</v>
      </c>
    </row>
    <row r="158" spans="2:10">
      <c r="B158" s="1" t="s">
        <v>12</v>
      </c>
      <c r="C158" s="1" t="s">
        <v>296</v>
      </c>
      <c r="D158" s="1" t="s">
        <v>251</v>
      </c>
      <c r="E158" s="6" t="s">
        <v>301</v>
      </c>
      <c r="F158" s="1" t="s">
        <v>21</v>
      </c>
      <c r="G158" s="1" t="s">
        <v>56</v>
      </c>
      <c r="H158" s="2">
        <f t="shared" si="6"/>
        <v>1</v>
      </c>
      <c r="I158" s="2" t="str">
        <f t="shared" si="7"/>
        <v>No</v>
      </c>
      <c r="J158" s="2" t="str">
        <f t="shared" si="8"/>
        <v>Low</v>
      </c>
    </row>
    <row r="159" spans="2:10">
      <c r="B159" s="1" t="s">
        <v>12</v>
      </c>
      <c r="C159" s="1" t="s">
        <v>296</v>
      </c>
      <c r="D159" s="1" t="s">
        <v>251</v>
      </c>
      <c r="E159" s="6" t="s">
        <v>302</v>
      </c>
      <c r="F159" s="1" t="s">
        <v>21</v>
      </c>
      <c r="G159" s="1" t="s">
        <v>56</v>
      </c>
      <c r="H159" s="2">
        <f t="shared" si="6"/>
        <v>3</v>
      </c>
      <c r="I159" s="2" t="str">
        <f t="shared" si="7"/>
        <v>No</v>
      </c>
      <c r="J159" s="2" t="str">
        <f t="shared" si="8"/>
        <v>Low</v>
      </c>
    </row>
    <row r="160" spans="2:10">
      <c r="B160" s="1" t="s">
        <v>12</v>
      </c>
      <c r="C160" s="1" t="s">
        <v>296</v>
      </c>
      <c r="D160" s="1" t="s">
        <v>251</v>
      </c>
      <c r="E160" s="6" t="s">
        <v>303</v>
      </c>
      <c r="F160" s="1" t="s">
        <v>21</v>
      </c>
      <c r="G160" s="1" t="s">
        <v>56</v>
      </c>
      <c r="H160" s="2">
        <f t="shared" si="6"/>
        <v>2</v>
      </c>
      <c r="I160" s="2" t="str">
        <f t="shared" si="7"/>
        <v>No</v>
      </c>
      <c r="J160" s="2" t="str">
        <f t="shared" si="8"/>
        <v>Low</v>
      </c>
    </row>
    <row r="161" spans="2:10">
      <c r="B161" s="1" t="s">
        <v>12</v>
      </c>
      <c r="C161" s="1" t="s">
        <v>296</v>
      </c>
      <c r="D161" s="1" t="s">
        <v>251</v>
      </c>
      <c r="E161" s="6" t="s">
        <v>304</v>
      </c>
      <c r="F161" s="1" t="s">
        <v>21</v>
      </c>
      <c r="G161" s="1" t="s">
        <v>56</v>
      </c>
      <c r="H161" s="2">
        <f t="shared" si="6"/>
        <v>2</v>
      </c>
      <c r="I161" s="2" t="str">
        <f t="shared" si="7"/>
        <v>No</v>
      </c>
      <c r="J161" s="2" t="str">
        <f t="shared" si="8"/>
        <v>Low</v>
      </c>
    </row>
    <row r="162" spans="2:10">
      <c r="B162" s="1" t="s">
        <v>12</v>
      </c>
      <c r="C162" s="1" t="s">
        <v>296</v>
      </c>
      <c r="D162" s="1" t="s">
        <v>251</v>
      </c>
      <c r="E162" s="6" t="s">
        <v>305</v>
      </c>
      <c r="F162" s="1" t="s">
        <v>21</v>
      </c>
      <c r="G162" s="1" t="s">
        <v>62</v>
      </c>
      <c r="H162" s="2">
        <f t="shared" si="6"/>
        <v>4</v>
      </c>
      <c r="I162" s="2" t="str">
        <f t="shared" si="7"/>
        <v>No</v>
      </c>
      <c r="J162" s="2" t="str">
        <f t="shared" si="8"/>
        <v>Low</v>
      </c>
    </row>
    <row r="163" spans="2:10">
      <c r="B163" s="1" t="s">
        <v>12</v>
      </c>
      <c r="C163" s="1" t="s">
        <v>296</v>
      </c>
      <c r="D163" s="1" t="s">
        <v>251</v>
      </c>
      <c r="E163" s="6" t="s">
        <v>312</v>
      </c>
      <c r="F163" s="1" t="s">
        <v>10</v>
      </c>
      <c r="G163" s="1" t="s">
        <v>62</v>
      </c>
      <c r="H163" s="2">
        <f t="shared" si="6"/>
        <v>3</v>
      </c>
      <c r="I163" s="2" t="str">
        <f t="shared" si="7"/>
        <v>No</v>
      </c>
      <c r="J163" s="2" t="str">
        <f t="shared" si="8"/>
        <v>Low</v>
      </c>
    </row>
    <row r="164" spans="2:10">
      <c r="B164" s="1" t="s">
        <v>12</v>
      </c>
      <c r="C164" s="1" t="s">
        <v>296</v>
      </c>
      <c r="D164" s="1" t="s">
        <v>251</v>
      </c>
      <c r="E164" s="6" t="s">
        <v>306</v>
      </c>
      <c r="F164" s="1" t="s">
        <v>23</v>
      </c>
      <c r="G164" s="1" t="s">
        <v>62</v>
      </c>
      <c r="H164" s="2">
        <f t="shared" si="6"/>
        <v>3</v>
      </c>
      <c r="I164" s="2" t="str">
        <f t="shared" si="7"/>
        <v>No</v>
      </c>
      <c r="J164" s="2" t="str">
        <f t="shared" si="8"/>
        <v>Low</v>
      </c>
    </row>
    <row r="165" spans="2:10" ht="29">
      <c r="B165" s="1" t="s">
        <v>12</v>
      </c>
      <c r="C165" s="1" t="s">
        <v>296</v>
      </c>
      <c r="D165" s="1" t="s">
        <v>251</v>
      </c>
      <c r="E165" s="6" t="s">
        <v>307</v>
      </c>
      <c r="F165" s="1" t="s">
        <v>21</v>
      </c>
      <c r="G165" s="1" t="s">
        <v>56</v>
      </c>
      <c r="H165" s="2">
        <f t="shared" si="6"/>
        <v>20</v>
      </c>
      <c r="I165" s="2" t="str">
        <f t="shared" si="7"/>
        <v>Yes</v>
      </c>
      <c r="J165" s="2" t="str">
        <f t="shared" si="8"/>
        <v>High</v>
      </c>
    </row>
    <row r="166" spans="2:10">
      <c r="B166" s="1" t="s">
        <v>12</v>
      </c>
      <c r="C166" s="1" t="s">
        <v>296</v>
      </c>
      <c r="D166" s="1" t="s">
        <v>251</v>
      </c>
      <c r="E166" s="6" t="s">
        <v>308</v>
      </c>
      <c r="F166" s="1" t="s">
        <v>10</v>
      </c>
      <c r="G166" s="1" t="s">
        <v>62</v>
      </c>
      <c r="H166" s="2">
        <f t="shared" si="6"/>
        <v>9</v>
      </c>
      <c r="I166" s="2" t="str">
        <f t="shared" si="7"/>
        <v>No</v>
      </c>
      <c r="J166" s="2" t="str">
        <f t="shared" si="8"/>
        <v>Low</v>
      </c>
    </row>
    <row r="167" spans="2:10">
      <c r="B167" s="1" t="s">
        <v>12</v>
      </c>
      <c r="C167" s="1" t="s">
        <v>296</v>
      </c>
      <c r="D167" s="1" t="s">
        <v>251</v>
      </c>
      <c r="E167" s="6" t="s">
        <v>309</v>
      </c>
      <c r="F167" s="1" t="s">
        <v>10</v>
      </c>
      <c r="G167" s="1" t="s">
        <v>62</v>
      </c>
      <c r="H167" s="2">
        <f t="shared" si="6"/>
        <v>6</v>
      </c>
      <c r="I167" s="2" t="str">
        <f t="shared" si="7"/>
        <v>No</v>
      </c>
      <c r="J167" s="2" t="str">
        <f t="shared" si="8"/>
        <v>Low</v>
      </c>
    </row>
    <row r="168" spans="2:10">
      <c r="B168" s="1" t="s">
        <v>12</v>
      </c>
      <c r="C168" s="1" t="s">
        <v>296</v>
      </c>
      <c r="D168" s="1" t="s">
        <v>251</v>
      </c>
      <c r="E168" s="6" t="s">
        <v>310</v>
      </c>
      <c r="F168" s="1" t="s">
        <v>23</v>
      </c>
      <c r="G168" s="1" t="s">
        <v>62</v>
      </c>
      <c r="H168" s="2">
        <f t="shared" si="6"/>
        <v>3</v>
      </c>
      <c r="I168" s="2" t="str">
        <f t="shared" si="7"/>
        <v>No</v>
      </c>
      <c r="J168" s="2" t="str">
        <f t="shared" si="8"/>
        <v>Low</v>
      </c>
    </row>
    <row r="169" spans="2:10">
      <c r="B169" s="1" t="s">
        <v>12</v>
      </c>
      <c r="C169" s="1" t="s">
        <v>296</v>
      </c>
      <c r="D169" s="1" t="s">
        <v>251</v>
      </c>
      <c r="E169" s="6" t="s">
        <v>311</v>
      </c>
      <c r="F169" s="1" t="s">
        <v>23</v>
      </c>
      <c r="G169" s="1" t="s">
        <v>62</v>
      </c>
      <c r="H169" s="2">
        <f t="shared" si="6"/>
        <v>4</v>
      </c>
      <c r="I169" s="2" t="str">
        <f t="shared" si="7"/>
        <v>No</v>
      </c>
      <c r="J169" s="2" t="str">
        <f t="shared" si="8"/>
        <v>Low</v>
      </c>
    </row>
    <row r="170" spans="2:10">
      <c r="B170" s="2" t="s">
        <v>12</v>
      </c>
      <c r="C170" s="1" t="s">
        <v>296</v>
      </c>
      <c r="D170" s="1" t="s">
        <v>251</v>
      </c>
      <c r="E170" t="s">
        <v>366</v>
      </c>
      <c r="F170" s="2" t="s">
        <v>21</v>
      </c>
      <c r="G170" s="2" t="s">
        <v>295</v>
      </c>
      <c r="H170" s="2">
        <f t="shared" si="6"/>
        <v>2</v>
      </c>
      <c r="I170" s="2" t="str">
        <f t="shared" si="7"/>
        <v>No</v>
      </c>
      <c r="J170" s="2" t="str">
        <f t="shared" si="8"/>
        <v>Low</v>
      </c>
    </row>
    <row r="171" spans="2:10">
      <c r="B171" s="2" t="s">
        <v>12</v>
      </c>
      <c r="C171" s="1" t="s">
        <v>296</v>
      </c>
      <c r="D171" s="1" t="s">
        <v>251</v>
      </c>
      <c r="E171" t="s">
        <v>367</v>
      </c>
      <c r="F171" s="2" t="s">
        <v>21</v>
      </c>
      <c r="G171" s="2" t="s">
        <v>295</v>
      </c>
      <c r="H171" s="2">
        <f t="shared" si="6"/>
        <v>2</v>
      </c>
      <c r="I171" s="2" t="str">
        <f t="shared" si="7"/>
        <v>No</v>
      </c>
      <c r="J171" s="2" t="str">
        <f t="shared" si="8"/>
        <v>Low</v>
      </c>
    </row>
    <row r="172" spans="2:10">
      <c r="B172" s="2" t="s">
        <v>12</v>
      </c>
      <c r="C172" s="1" t="s">
        <v>296</v>
      </c>
      <c r="D172" s="1" t="s">
        <v>251</v>
      </c>
      <c r="E172" t="s">
        <v>368</v>
      </c>
      <c r="F172" s="2" t="s">
        <v>21</v>
      </c>
      <c r="G172" s="2" t="s">
        <v>295</v>
      </c>
      <c r="H172" s="2">
        <f t="shared" si="6"/>
        <v>2</v>
      </c>
      <c r="I172" s="2" t="str">
        <f t="shared" si="7"/>
        <v>No</v>
      </c>
      <c r="J172" s="2" t="str">
        <f t="shared" si="8"/>
        <v>Low</v>
      </c>
    </row>
    <row r="173" spans="2:10">
      <c r="B173" s="2" t="s">
        <v>12</v>
      </c>
      <c r="C173" s="1" t="s">
        <v>296</v>
      </c>
      <c r="D173" s="1" t="s">
        <v>251</v>
      </c>
      <c r="E173" t="s">
        <v>369</v>
      </c>
      <c r="F173" s="2" t="s">
        <v>21</v>
      </c>
      <c r="G173" s="2" t="s">
        <v>295</v>
      </c>
      <c r="H173" s="2">
        <f t="shared" si="6"/>
        <v>2</v>
      </c>
      <c r="I173" s="2" t="str">
        <f t="shared" si="7"/>
        <v>No</v>
      </c>
      <c r="J173" s="2" t="str">
        <f t="shared" si="8"/>
        <v>Low</v>
      </c>
    </row>
    <row r="174" spans="2:10">
      <c r="B174" s="2" t="s">
        <v>12</v>
      </c>
      <c r="C174" s="1" t="s">
        <v>296</v>
      </c>
      <c r="D174" s="1" t="s">
        <v>251</v>
      </c>
      <c r="E174" t="s">
        <v>370</v>
      </c>
      <c r="F174" s="2" t="s">
        <v>21</v>
      </c>
      <c r="G174" s="2" t="s">
        <v>295</v>
      </c>
      <c r="H174" s="2">
        <f t="shared" si="6"/>
        <v>1</v>
      </c>
      <c r="I174" s="2" t="str">
        <f t="shared" si="7"/>
        <v>No</v>
      </c>
      <c r="J174" s="2" t="str">
        <f t="shared" si="8"/>
        <v>Low</v>
      </c>
    </row>
    <row r="175" spans="2:10">
      <c r="B175" s="2" t="s">
        <v>12</v>
      </c>
      <c r="C175" s="1" t="s">
        <v>296</v>
      </c>
      <c r="D175" s="1" t="s">
        <v>251</v>
      </c>
      <c r="E175" t="s">
        <v>371</v>
      </c>
      <c r="F175" s="2" t="s">
        <v>21</v>
      </c>
      <c r="G175" s="2" t="s">
        <v>295</v>
      </c>
      <c r="H175" s="2">
        <f t="shared" si="6"/>
        <v>1</v>
      </c>
      <c r="I175" s="2" t="str">
        <f t="shared" si="7"/>
        <v>No</v>
      </c>
      <c r="J175" s="2" t="str">
        <f t="shared" si="8"/>
        <v>Low</v>
      </c>
    </row>
    <row r="176" spans="2:10">
      <c r="B176" s="2" t="s">
        <v>18</v>
      </c>
      <c r="C176" s="1" t="s">
        <v>277</v>
      </c>
      <c r="D176" s="2" t="s">
        <v>8</v>
      </c>
      <c r="E176" t="s">
        <v>372</v>
      </c>
      <c r="F176" s="2" t="s">
        <v>10</v>
      </c>
      <c r="G176" s="2" t="s">
        <v>62</v>
      </c>
      <c r="H176" s="2">
        <f t="shared" si="6"/>
        <v>7</v>
      </c>
      <c r="I176" s="2" t="str">
        <f t="shared" si="7"/>
        <v>Yes</v>
      </c>
      <c r="J176" s="2" t="str">
        <f t="shared" si="8"/>
        <v>High</v>
      </c>
    </row>
    <row r="177" spans="2:10">
      <c r="B177" s="2" t="s">
        <v>18</v>
      </c>
      <c r="C177" s="1" t="s">
        <v>277</v>
      </c>
      <c r="D177" s="2" t="s">
        <v>8</v>
      </c>
      <c r="E177" t="s">
        <v>373</v>
      </c>
      <c r="F177" s="2" t="s">
        <v>10</v>
      </c>
      <c r="G177" s="2" t="s">
        <v>56</v>
      </c>
      <c r="H177" s="2">
        <f t="shared" si="6"/>
        <v>32</v>
      </c>
      <c r="I177" s="2" t="str">
        <f t="shared" si="7"/>
        <v>Yes</v>
      </c>
      <c r="J177" s="2" t="str">
        <f t="shared" si="8"/>
        <v>High</v>
      </c>
    </row>
    <row r="178" spans="2:10">
      <c r="B178" s="2" t="s">
        <v>18</v>
      </c>
      <c r="C178" s="1" t="s">
        <v>277</v>
      </c>
      <c r="D178" s="2" t="s">
        <v>8</v>
      </c>
      <c r="E178" t="s">
        <v>374</v>
      </c>
      <c r="F178" s="2" t="s">
        <v>10</v>
      </c>
      <c r="G178" s="2" t="s">
        <v>70</v>
      </c>
      <c r="H178" s="2">
        <f t="shared" si="6"/>
        <v>30</v>
      </c>
      <c r="I178" s="2" t="str">
        <f t="shared" si="7"/>
        <v>Yes</v>
      </c>
      <c r="J178" s="2" t="str">
        <f t="shared" si="8"/>
        <v>High</v>
      </c>
    </row>
    <row r="179" spans="2:10">
      <c r="B179" s="2" t="s">
        <v>18</v>
      </c>
      <c r="C179" s="1" t="s">
        <v>210</v>
      </c>
      <c r="D179" s="2" t="s">
        <v>8</v>
      </c>
      <c r="E179" t="s">
        <v>375</v>
      </c>
      <c r="F179" s="2" t="s">
        <v>10</v>
      </c>
      <c r="G179" s="2" t="s">
        <v>70</v>
      </c>
      <c r="H179" s="2">
        <f t="shared" si="6"/>
        <v>21</v>
      </c>
      <c r="I179" s="2" t="str">
        <f t="shared" si="7"/>
        <v>Yes</v>
      </c>
      <c r="J179" s="2" t="str">
        <f t="shared" si="8"/>
        <v>High</v>
      </c>
    </row>
    <row r="180" spans="2:10">
      <c r="B180" s="2" t="s">
        <v>18</v>
      </c>
      <c r="C180" s="1" t="s">
        <v>210</v>
      </c>
      <c r="D180" s="2" t="s">
        <v>8</v>
      </c>
      <c r="E180" t="s">
        <v>376</v>
      </c>
      <c r="F180" s="2" t="s">
        <v>10</v>
      </c>
      <c r="G180" s="2" t="s">
        <v>70</v>
      </c>
      <c r="H180" s="2">
        <f t="shared" si="6"/>
        <v>21</v>
      </c>
      <c r="I180" s="2" t="str">
        <f t="shared" si="7"/>
        <v>Yes</v>
      </c>
      <c r="J180" s="2" t="str">
        <f t="shared" si="8"/>
        <v>High</v>
      </c>
    </row>
    <row r="181" spans="2:10">
      <c r="B181" s="2" t="s">
        <v>18</v>
      </c>
      <c r="C181" s="1" t="s">
        <v>210</v>
      </c>
      <c r="D181" s="2" t="s">
        <v>8</v>
      </c>
      <c r="E181" t="s">
        <v>377</v>
      </c>
      <c r="F181" s="2" t="s">
        <v>10</v>
      </c>
      <c r="G181" s="2" t="s">
        <v>59</v>
      </c>
      <c r="H181" s="2">
        <f t="shared" si="6"/>
        <v>25</v>
      </c>
      <c r="I181" s="2" t="str">
        <f t="shared" si="7"/>
        <v>No</v>
      </c>
      <c r="J181" s="2" t="str">
        <f t="shared" si="8"/>
        <v>High</v>
      </c>
    </row>
    <row r="182" spans="2:10">
      <c r="B182" s="2" t="s">
        <v>18</v>
      </c>
      <c r="C182" s="1" t="s">
        <v>210</v>
      </c>
      <c r="D182" s="2" t="s">
        <v>8</v>
      </c>
      <c r="E182" t="s">
        <v>378</v>
      </c>
      <c r="F182" s="2" t="s">
        <v>10</v>
      </c>
      <c r="G182" s="2" t="s">
        <v>62</v>
      </c>
      <c r="H182" s="2">
        <f t="shared" si="6"/>
        <v>25</v>
      </c>
      <c r="I182" s="2" t="str">
        <f t="shared" si="7"/>
        <v>Yes</v>
      </c>
      <c r="J182" s="2" t="str">
        <f t="shared" si="8"/>
        <v>High</v>
      </c>
    </row>
    <row r="183" spans="2:10">
      <c r="B183" s="2" t="s">
        <v>18</v>
      </c>
      <c r="C183" s="1" t="s">
        <v>210</v>
      </c>
      <c r="D183" s="2" t="s">
        <v>8</v>
      </c>
      <c r="E183" t="s">
        <v>379</v>
      </c>
      <c r="F183" s="2" t="s">
        <v>10</v>
      </c>
      <c r="G183" s="2" t="s">
        <v>56</v>
      </c>
      <c r="H183" s="2">
        <f t="shared" si="6"/>
        <v>13</v>
      </c>
      <c r="I183" s="2" t="str">
        <f t="shared" si="7"/>
        <v>Yes</v>
      </c>
      <c r="J183" s="2" t="str">
        <f t="shared" si="8"/>
        <v>High</v>
      </c>
    </row>
    <row r="184" spans="2:10">
      <c r="B184" s="2" t="s">
        <v>18</v>
      </c>
      <c r="C184" s="1" t="s">
        <v>210</v>
      </c>
      <c r="D184" s="2" t="s">
        <v>8</v>
      </c>
      <c r="E184" t="s">
        <v>380</v>
      </c>
      <c r="F184" s="2" t="s">
        <v>10</v>
      </c>
      <c r="G184" s="2" t="s">
        <v>59</v>
      </c>
      <c r="H184" s="2">
        <f t="shared" si="6"/>
        <v>6</v>
      </c>
      <c r="I184" s="2" t="str">
        <f t="shared" si="7"/>
        <v>No</v>
      </c>
      <c r="J184" s="2" t="str">
        <f t="shared" si="8"/>
        <v>Low</v>
      </c>
    </row>
    <row r="185" spans="2:10">
      <c r="B185" s="2" t="s">
        <v>18</v>
      </c>
      <c r="C185" s="1" t="s">
        <v>210</v>
      </c>
      <c r="D185" s="2" t="s">
        <v>8</v>
      </c>
      <c r="E185" t="s">
        <v>381</v>
      </c>
      <c r="F185" s="2" t="s">
        <v>23</v>
      </c>
      <c r="G185" s="2" t="s">
        <v>62</v>
      </c>
      <c r="H185" s="2">
        <f t="shared" si="6"/>
        <v>23</v>
      </c>
      <c r="I185" s="2" t="str">
        <f t="shared" si="7"/>
        <v>No</v>
      </c>
      <c r="J185" s="2" t="str">
        <f t="shared" si="8"/>
        <v>High</v>
      </c>
    </row>
    <row r="186" spans="2:10">
      <c r="B186" s="2" t="s">
        <v>18</v>
      </c>
      <c r="C186" s="1" t="s">
        <v>210</v>
      </c>
      <c r="D186" s="2" t="s">
        <v>8</v>
      </c>
      <c r="E186" t="s">
        <v>382</v>
      </c>
      <c r="F186" s="2" t="s">
        <v>10</v>
      </c>
      <c r="G186" s="2" t="s">
        <v>59</v>
      </c>
      <c r="H186" s="2">
        <f t="shared" si="6"/>
        <v>20</v>
      </c>
      <c r="I186" s="2" t="str">
        <f t="shared" si="7"/>
        <v>Yes</v>
      </c>
      <c r="J186" s="2" t="str">
        <f t="shared" si="8"/>
        <v>High</v>
      </c>
    </row>
    <row r="187" spans="2:10">
      <c r="B187" s="2" t="s">
        <v>18</v>
      </c>
      <c r="C187" s="1" t="s">
        <v>210</v>
      </c>
      <c r="D187" s="2" t="s">
        <v>8</v>
      </c>
      <c r="E187" t="s">
        <v>383</v>
      </c>
      <c r="F187" s="2" t="s">
        <v>23</v>
      </c>
      <c r="G187" s="2" t="s">
        <v>56</v>
      </c>
      <c r="H187" s="2">
        <f t="shared" si="6"/>
        <v>12</v>
      </c>
      <c r="I187" s="2" t="str">
        <f t="shared" si="7"/>
        <v>Yes</v>
      </c>
      <c r="J187" s="2" t="str">
        <f t="shared" si="8"/>
        <v>High</v>
      </c>
    </row>
    <row r="188" spans="2:10">
      <c r="B188" s="2" t="s">
        <v>18</v>
      </c>
      <c r="C188" s="1" t="s">
        <v>210</v>
      </c>
      <c r="D188" s="2" t="s">
        <v>8</v>
      </c>
      <c r="E188" t="s">
        <v>384</v>
      </c>
      <c r="F188" s="2" t="s">
        <v>21</v>
      </c>
      <c r="G188" s="2" t="s">
        <v>62</v>
      </c>
      <c r="H188" s="2">
        <f t="shared" si="6"/>
        <v>14</v>
      </c>
      <c r="I188" s="2" t="str">
        <f t="shared" si="7"/>
        <v>Yes</v>
      </c>
      <c r="J188" s="2" t="str">
        <f t="shared" si="8"/>
        <v>High</v>
      </c>
    </row>
    <row r="189" spans="2:10">
      <c r="B189" s="2" t="s">
        <v>18</v>
      </c>
      <c r="C189" s="1" t="s">
        <v>210</v>
      </c>
      <c r="D189" s="2" t="s">
        <v>8</v>
      </c>
      <c r="E189" t="s">
        <v>385</v>
      </c>
      <c r="F189" s="2" t="s">
        <v>10</v>
      </c>
      <c r="G189" s="2" t="s">
        <v>56</v>
      </c>
      <c r="H189" s="2">
        <f t="shared" si="6"/>
        <v>12</v>
      </c>
      <c r="I189" s="2" t="str">
        <f t="shared" si="7"/>
        <v>Yes</v>
      </c>
      <c r="J189" s="2" t="str">
        <f t="shared" si="8"/>
        <v>High</v>
      </c>
    </row>
    <row r="190" spans="2:10">
      <c r="B190" s="2" t="s">
        <v>18</v>
      </c>
      <c r="C190" s="1" t="s">
        <v>210</v>
      </c>
      <c r="D190" s="2" t="s">
        <v>8</v>
      </c>
      <c r="E190" t="s">
        <v>386</v>
      </c>
      <c r="F190" s="2" t="s">
        <v>10</v>
      </c>
      <c r="G190" s="2" t="s">
        <v>56</v>
      </c>
      <c r="H190" s="2">
        <f t="shared" si="6"/>
        <v>14</v>
      </c>
      <c r="I190" s="2" t="str">
        <f t="shared" si="7"/>
        <v>Yes</v>
      </c>
      <c r="J190" s="2" t="str">
        <f t="shared" si="8"/>
        <v>High</v>
      </c>
    </row>
    <row r="191" spans="2:10">
      <c r="B191" s="2" t="s">
        <v>18</v>
      </c>
      <c r="C191" s="1" t="s">
        <v>210</v>
      </c>
      <c r="D191" s="2" t="s">
        <v>8</v>
      </c>
      <c r="E191" t="s">
        <v>387</v>
      </c>
      <c r="F191" s="2" t="s">
        <v>10</v>
      </c>
      <c r="G191" s="2" t="s">
        <v>62</v>
      </c>
      <c r="H191" s="2">
        <f t="shared" si="6"/>
        <v>12</v>
      </c>
      <c r="I191" s="2" t="str">
        <f t="shared" si="7"/>
        <v>Yes</v>
      </c>
      <c r="J191" s="2" t="str">
        <f t="shared" si="8"/>
        <v>High</v>
      </c>
    </row>
    <row r="192" spans="2:10">
      <c r="B192" s="2" t="s">
        <v>18</v>
      </c>
      <c r="C192" s="1" t="s">
        <v>210</v>
      </c>
      <c r="D192" s="2" t="s">
        <v>8</v>
      </c>
      <c r="E192" t="s">
        <v>388</v>
      </c>
      <c r="F192" s="2" t="s">
        <v>10</v>
      </c>
      <c r="G192" s="2" t="s">
        <v>56</v>
      </c>
      <c r="H192" s="2">
        <f t="shared" si="6"/>
        <v>16</v>
      </c>
      <c r="I192" s="2" t="str">
        <f t="shared" si="7"/>
        <v>Yes</v>
      </c>
      <c r="J192" s="2" t="str">
        <f t="shared" si="8"/>
        <v>High</v>
      </c>
    </row>
    <row r="193" spans="2:10">
      <c r="B193" s="2" t="s">
        <v>12</v>
      </c>
      <c r="C193" s="1" t="s">
        <v>127</v>
      </c>
      <c r="D193" s="2" t="s">
        <v>251</v>
      </c>
      <c r="E193" t="s">
        <v>389</v>
      </c>
      <c r="F193" s="2" t="s">
        <v>21</v>
      </c>
      <c r="G193" s="2" t="s">
        <v>295</v>
      </c>
      <c r="H193" s="2">
        <f t="shared" si="6"/>
        <v>1</v>
      </c>
      <c r="I193" s="2" t="str">
        <f t="shared" si="7"/>
        <v>No</v>
      </c>
      <c r="J193" s="2" t="str">
        <f t="shared" si="8"/>
        <v>Low</v>
      </c>
    </row>
    <row r="194" spans="2:10">
      <c r="B194" s="2" t="s">
        <v>12</v>
      </c>
      <c r="C194" s="1" t="s">
        <v>127</v>
      </c>
      <c r="D194" s="2" t="s">
        <v>251</v>
      </c>
      <c r="E194" t="s">
        <v>390</v>
      </c>
      <c r="F194" s="2" t="s">
        <v>21</v>
      </c>
      <c r="G194" s="2" t="s">
        <v>295</v>
      </c>
      <c r="H194" s="2">
        <f t="shared" si="6"/>
        <v>1</v>
      </c>
      <c r="I194" s="2" t="str">
        <f t="shared" si="7"/>
        <v>No</v>
      </c>
      <c r="J194" s="2" t="str">
        <f t="shared" si="8"/>
        <v>Low</v>
      </c>
    </row>
    <row r="195" spans="2:10">
      <c r="B195" s="2" t="s">
        <v>12</v>
      </c>
      <c r="C195" s="1" t="s">
        <v>127</v>
      </c>
      <c r="D195" s="2" t="s">
        <v>251</v>
      </c>
      <c r="E195" t="s">
        <v>371</v>
      </c>
      <c r="F195" s="2" t="s">
        <v>21</v>
      </c>
      <c r="G195" s="2" t="s">
        <v>295</v>
      </c>
      <c r="H195" s="2">
        <f t="shared" ref="H195:H201" si="9">LEN(TRIM(E195))-LEN(SUBSTITUTE(E195," ",""))+1</f>
        <v>1</v>
      </c>
      <c r="I195" s="2" t="str">
        <f t="shared" ref="I195:I201" si="10">IF(OR(
ISNUMBER(SEARCH("because",E195)),
ISNUMBER(SEARCH("therefore",E195)),
ISNUMBER(SEARCH("according",E195)),
ISNUMBER(SEARCH("should",E195)),
ISNUMBER(SEARCH("must",E195)),
ISNUMBER(SEARCH("real",E195)),
ISNUMBER(SEARCH("human",E195)),
ISNUMBER(SEARCH("original",E195)),
ISNUMBER(SEARCH("process",E195))
),"Yes","No")</f>
        <v>No</v>
      </c>
      <c r="J195" s="2" t="str">
        <f t="shared" ref="J195:J201" si="11">IF(OR(H195&gt;15,I195="Yes"),"High","Low")</f>
        <v>Low</v>
      </c>
    </row>
    <row r="196" spans="2:10">
      <c r="B196" s="2" t="s">
        <v>12</v>
      </c>
      <c r="C196" s="1" t="s">
        <v>127</v>
      </c>
      <c r="D196" s="2" t="s">
        <v>251</v>
      </c>
      <c r="E196" t="s">
        <v>391</v>
      </c>
      <c r="F196" s="2" t="s">
        <v>21</v>
      </c>
      <c r="G196" s="2" t="s">
        <v>295</v>
      </c>
      <c r="H196" s="2">
        <f t="shared" si="9"/>
        <v>2</v>
      </c>
      <c r="I196" s="2" t="str">
        <f t="shared" si="10"/>
        <v>No</v>
      </c>
      <c r="J196" s="2" t="str">
        <f t="shared" si="11"/>
        <v>Low</v>
      </c>
    </row>
    <row r="197" spans="2:10">
      <c r="B197" s="2" t="s">
        <v>12</v>
      </c>
      <c r="C197" s="1" t="s">
        <v>127</v>
      </c>
      <c r="D197" s="2" t="s">
        <v>8</v>
      </c>
      <c r="E197" t="s">
        <v>392</v>
      </c>
      <c r="F197" s="2" t="s">
        <v>10</v>
      </c>
      <c r="G197" s="2" t="s">
        <v>56</v>
      </c>
      <c r="H197" s="2">
        <f t="shared" si="9"/>
        <v>22</v>
      </c>
      <c r="I197" s="2" t="str">
        <f t="shared" si="10"/>
        <v>Yes</v>
      </c>
      <c r="J197" s="2" t="str">
        <f t="shared" si="11"/>
        <v>High</v>
      </c>
    </row>
    <row r="198" spans="2:10">
      <c r="B198" s="2" t="s">
        <v>12</v>
      </c>
      <c r="C198" s="1" t="s">
        <v>127</v>
      </c>
      <c r="D198" s="2" t="s">
        <v>8</v>
      </c>
      <c r="E198" t="s">
        <v>393</v>
      </c>
      <c r="F198" s="2" t="s">
        <v>21</v>
      </c>
      <c r="G198" s="2" t="s">
        <v>295</v>
      </c>
      <c r="H198" s="2">
        <f t="shared" si="9"/>
        <v>8</v>
      </c>
      <c r="I198" s="2" t="str">
        <f t="shared" si="10"/>
        <v>No</v>
      </c>
      <c r="J198" s="2" t="str">
        <f t="shared" si="11"/>
        <v>Low</v>
      </c>
    </row>
    <row r="199" spans="2:10">
      <c r="B199" s="2" t="s">
        <v>12</v>
      </c>
      <c r="C199" s="1" t="s">
        <v>127</v>
      </c>
      <c r="D199" s="2" t="s">
        <v>8</v>
      </c>
      <c r="E199" t="s">
        <v>394</v>
      </c>
      <c r="F199" s="2" t="s">
        <v>23</v>
      </c>
      <c r="G199" s="2" t="s">
        <v>64</v>
      </c>
      <c r="H199" s="2">
        <f t="shared" si="9"/>
        <v>5</v>
      </c>
      <c r="I199" s="2" t="str">
        <f t="shared" si="10"/>
        <v>No</v>
      </c>
      <c r="J199" s="2" t="str">
        <f t="shared" si="11"/>
        <v>Low</v>
      </c>
    </row>
    <row r="200" spans="2:10">
      <c r="B200" s="2" t="s">
        <v>12</v>
      </c>
      <c r="C200" s="1" t="s">
        <v>127</v>
      </c>
      <c r="D200" s="2" t="s">
        <v>8</v>
      </c>
      <c r="E200" t="s">
        <v>395</v>
      </c>
      <c r="F200" s="2" t="s">
        <v>23</v>
      </c>
      <c r="G200" s="2" t="s">
        <v>295</v>
      </c>
      <c r="H200" s="2">
        <f t="shared" si="9"/>
        <v>13</v>
      </c>
      <c r="I200" s="2" t="str">
        <f t="shared" si="10"/>
        <v>No</v>
      </c>
      <c r="J200" s="2" t="str">
        <f t="shared" si="11"/>
        <v>Low</v>
      </c>
    </row>
    <row r="201" spans="2:10">
      <c r="B201" s="2" t="s">
        <v>12</v>
      </c>
      <c r="C201" s="1" t="s">
        <v>127</v>
      </c>
      <c r="D201" s="2" t="s">
        <v>8</v>
      </c>
      <c r="E201" t="s">
        <v>396</v>
      </c>
      <c r="F201" s="2" t="s">
        <v>21</v>
      </c>
      <c r="G201" s="2" t="s">
        <v>295</v>
      </c>
      <c r="H201" s="2">
        <f t="shared" si="9"/>
        <v>2</v>
      </c>
      <c r="I201" s="2" t="str">
        <f t="shared" si="10"/>
        <v>No</v>
      </c>
      <c r="J201" s="2" t="str">
        <f t="shared" si="11"/>
        <v>Low</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Metadata</vt:lpstr>
      <vt:lpstr>Dataschema</vt:lpstr>
      <vt:lpstr>200 Records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Giselle Sim</dc:creator>
  <cp:lastModifiedBy>Giselle Sim</cp:lastModifiedBy>
  <dcterms:created xsi:type="dcterms:W3CDTF">2026-02-11T09:17:14Z</dcterms:created>
  <dcterms:modified xsi:type="dcterms:W3CDTF">2026-03-31T13:02:19Z</dcterms:modified>
</cp:coreProperties>
</file>